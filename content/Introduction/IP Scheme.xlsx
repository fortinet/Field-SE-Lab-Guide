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ortinet-my.sharepoint.com/personal/ssweeney_fortinet-us_com/Documents/SE Lab Build Guide/SE_Home_Virtual_Lab/"/>
    </mc:Choice>
  </mc:AlternateContent>
  <bookViews>
    <workbookView minimized="1" xWindow="0" yWindow="0" windowWidth="18492" windowHeight="6756"/>
  </bookViews>
  <sheets>
    <sheet name="IP Addresses" sheetId="1" r:id="rId1"/>
    <sheet name="Licenses" sheetId="4" r:id="rId2"/>
    <sheet name="CIDR" sheetId="6" r:id="rId3"/>
    <sheet name="PVE Interface" sheetId="8" r:id="rId4"/>
    <sheet name="PVE VMid" sheetId="9" r:id="rId5"/>
    <sheet name="PVE SDN VLANs" sheetId="10" r:id="rId6"/>
    <sheet name="ESX TCGUI tables" sheetId="2" r:id="rId7"/>
  </sheets>
  <definedNames>
    <definedName name="_xlnm._FilterDatabase" localSheetId="6" hidden="1">'ESX TCGUI tables'!$A$2:$E$12</definedName>
    <definedName name="_xlnm._FilterDatabase" localSheetId="0" hidden="1">'IP Addresses'!$A$3:$AA$78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0" l="1"/>
  <c r="B17" i="10" l="1"/>
  <c r="B16" i="10"/>
  <c r="B15" i="10"/>
  <c r="B41" i="10"/>
  <c r="B40" i="10"/>
  <c r="B39" i="10"/>
  <c r="B38" i="10"/>
  <c r="B37" i="10"/>
  <c r="B36" i="10"/>
  <c r="B35" i="10"/>
  <c r="B34" i="10"/>
  <c r="B30" i="10"/>
  <c r="B24" i="10"/>
  <c r="B23" i="10"/>
  <c r="B28" i="10"/>
  <c r="B27" i="10"/>
  <c r="B7" i="10"/>
  <c r="B26" i="10"/>
  <c r="B25" i="10"/>
  <c r="B22" i="10"/>
  <c r="B21" i="10"/>
  <c r="B20" i="10"/>
  <c r="B19" i="10"/>
  <c r="B14" i="10"/>
  <c r="B13" i="10"/>
  <c r="B12" i="10"/>
  <c r="B11" i="10"/>
  <c r="B10" i="10"/>
  <c r="B9" i="10"/>
</calcChain>
</file>

<file path=xl/sharedStrings.xml><?xml version="1.0" encoding="utf-8"?>
<sst xmlns="http://schemas.openxmlformats.org/spreadsheetml/2006/main" count="559" uniqueCount="427">
  <si>
    <t>FortiAnalyzer</t>
  </si>
  <si>
    <t>FortiManager</t>
  </si>
  <si>
    <t>FortiMail</t>
  </si>
  <si>
    <t>FortiAuthenticator</t>
  </si>
  <si>
    <t>FortiSandbox</t>
  </si>
  <si>
    <t>FortiADC</t>
  </si>
  <si>
    <t>FortiWeb</t>
  </si>
  <si>
    <t>FGT First Floor</t>
  </si>
  <si>
    <t>Device</t>
  </si>
  <si>
    <t>10.100.88</t>
  </si>
  <si>
    <t>10.100.91</t>
  </si>
  <si>
    <t>10.100.94</t>
  </si>
  <si>
    <t>10.100.92</t>
  </si>
  <si>
    <t>10.100.93</t>
  </si>
  <si>
    <t>10.100.77</t>
  </si>
  <si>
    <t>WANem</t>
  </si>
  <si>
    <t>10.100.66</t>
  </si>
  <si>
    <t>10.100.55</t>
  </si>
  <si>
    <t>10.200.1</t>
  </si>
  <si>
    <t>192.168.0</t>
  </si>
  <si>
    <t>192.168.1</t>
  </si>
  <si>
    <t>FortiNAC</t>
  </si>
  <si>
    <t>Finance</t>
  </si>
  <si>
    <t>Sales</t>
  </si>
  <si>
    <t>2nd Floor</t>
  </si>
  <si>
    <t>MPLS</t>
  </si>
  <si>
    <t>Off-Net</t>
  </si>
  <si>
    <t>Branch_01</t>
  </si>
  <si>
    <t>Branch_02</t>
  </si>
  <si>
    <t>Branch_03</t>
  </si>
  <si>
    <t>Adapter</t>
  </si>
  <si>
    <t>eth</t>
  </si>
  <si>
    <t>MAC</t>
  </si>
  <si>
    <t>00:0c:29:65:56:ca</t>
  </si>
  <si>
    <t>00:0c:29:65:56:c0</t>
  </si>
  <si>
    <t>00:0c:29:65:56:b6</t>
  </si>
  <si>
    <t>00:0c:29:65:56:ac</t>
  </si>
  <si>
    <t>00:0c:29:65:56:a2</t>
  </si>
  <si>
    <t>00:0c:29:65:56:98</t>
  </si>
  <si>
    <t>00:0c:29:65:56:8e</t>
  </si>
  <si>
    <t>00:0c:29:65:56:84</t>
  </si>
  <si>
    <t>00:0c:29:65:56:7a</t>
  </si>
  <si>
    <t>00:0c:29:65:56:70</t>
  </si>
  <si>
    <t>VM Network</t>
  </si>
  <si>
    <t>Core-WAN-1</t>
  </si>
  <si>
    <t>Core-WAN-2</t>
  </si>
  <si>
    <t>Core-WAN-3</t>
  </si>
  <si>
    <t>Core-WAN-4</t>
  </si>
  <si>
    <t>Branch-WAN-1</t>
  </si>
  <si>
    <t>Branch-WAN-2</t>
  </si>
  <si>
    <t>Branch-WAN-3</t>
  </si>
  <si>
    <t>Branch-WAN-4</t>
  </si>
  <si>
    <t>Port Group</t>
  </si>
  <si>
    <t>vSwitch</t>
  </si>
  <si>
    <t>vSwitch2</t>
  </si>
  <si>
    <t>vSwitch3</t>
  </si>
  <si>
    <t>vSwitch9</t>
  </si>
  <si>
    <t>vSwitch10</t>
  </si>
  <si>
    <t>vSwitch5</t>
  </si>
  <si>
    <t>vSwitch6</t>
  </si>
  <si>
    <t>vSwitch7</t>
  </si>
  <si>
    <t>vSwitch8</t>
  </si>
  <si>
    <t>vSwitch12</t>
  </si>
  <si>
    <t>vSwitch1</t>
  </si>
  <si>
    <t>ESXi</t>
  </si>
  <si>
    <t>FGT Enterprise Core_2b</t>
  </si>
  <si>
    <t>First_Floor</t>
  </si>
  <si>
    <t>Hub2a</t>
  </si>
  <si>
    <t>Hub1b</t>
  </si>
  <si>
    <t>Hub1a</t>
  </si>
  <si>
    <t>10.198. 5&amp;6</t>
  </si>
  <si>
    <t>10.198. 7&amp;8</t>
  </si>
  <si>
    <t>10.198. 1&amp;2</t>
  </si>
  <si>
    <t>10.198. 3&amp;4</t>
  </si>
  <si>
    <t>10.198. 9&amp;10</t>
  </si>
  <si>
    <t>10.198. 11&amp;12</t>
  </si>
  <si>
    <t>Datacenter</t>
  </si>
  <si>
    <t>DatacenterDR</t>
  </si>
  <si>
    <t>10.100.99</t>
  </si>
  <si>
    <t>10.1.1.0</t>
  </si>
  <si>
    <t>10.1.2.0</t>
  </si>
  <si>
    <t>10.1.3.0</t>
  </si>
  <si>
    <t>ubuntu-11</t>
  </si>
  <si>
    <t>ubuntu-12</t>
  </si>
  <si>
    <t>ubuntu-13</t>
  </si>
  <si>
    <t>ubuntu-14</t>
  </si>
  <si>
    <t>10.198.4.1</t>
  </si>
  <si>
    <t>10.198.3.1</t>
  </si>
  <si>
    <t>10.198.2.1</t>
  </si>
  <si>
    <t>10.198.1.1</t>
  </si>
  <si>
    <t>10.198.8.1</t>
  </si>
  <si>
    <t>10.198.71</t>
  </si>
  <si>
    <t>10.198.61</t>
  </si>
  <si>
    <t>10.198.5.1</t>
  </si>
  <si>
    <t>10.198.9.1</t>
  </si>
  <si>
    <t>10.100.66.1</t>
  </si>
  <si>
    <t>10.198.10.1</t>
  </si>
  <si>
    <t>Loopback</t>
  </si>
  <si>
    <t>10.200.55</t>
  </si>
  <si>
    <t>FPX1</t>
  </si>
  <si>
    <t>FPX2</t>
  </si>
  <si>
    <t>FPX-Proxy1</t>
  </si>
  <si>
    <t>FPX-Proxy2</t>
  </si>
  <si>
    <t>tcgui</t>
  </si>
  <si>
    <t>ens160</t>
  </si>
  <si>
    <t>ens161</t>
  </si>
  <si>
    <t>00:0c:29:3b:83:55</t>
  </si>
  <si>
    <t>00:0c:29:3b:83:7d</t>
  </si>
  <si>
    <t>ens162</t>
  </si>
  <si>
    <t>00:0c:29:3b:83:a5</t>
  </si>
  <si>
    <t>ens192</t>
  </si>
  <si>
    <t>00:0c:29:3b:83:5f</t>
  </si>
  <si>
    <t>ens193</t>
  </si>
  <si>
    <t>00:0c:29:3b:83:87</t>
  </si>
  <si>
    <t>ens194</t>
  </si>
  <si>
    <t>ens224</t>
  </si>
  <si>
    <t>00:0c:29:3b:83:69</t>
  </si>
  <si>
    <t>00:0c:29:3b:83:91</t>
  </si>
  <si>
    <t>ens225</t>
  </si>
  <si>
    <t>ens256</t>
  </si>
  <si>
    <t>00:0c:29:3b:83:73</t>
  </si>
  <si>
    <t>ens257</t>
  </si>
  <si>
    <t>00:0c:29:3b:83:9b</t>
  </si>
  <si>
    <t>00:0c:29:3b:83:af</t>
  </si>
  <si>
    <t>10.198.6.1</t>
  </si>
  <si>
    <t>10.198.7.1</t>
  </si>
  <si>
    <t>172.16.3</t>
  </si>
  <si>
    <t>ESXi01</t>
  </si>
  <si>
    <t>ESXi03</t>
  </si>
  <si>
    <t>00:0C:29:14:33:80</t>
  </si>
  <si>
    <t>00:0C:29:14:33:A8</t>
  </si>
  <si>
    <t>00:0C:29:14:33:D0</t>
  </si>
  <si>
    <t>00:0C:29:14:33:8A</t>
  </si>
  <si>
    <t>00:0C:29:14:33:B2</t>
  </si>
  <si>
    <t>00:0C:29:14:33:DA</t>
  </si>
  <si>
    <t>00:0C:29:14:33:94</t>
  </si>
  <si>
    <t>00:0C:29:14:33:BC</t>
  </si>
  <si>
    <t>00:0C:29:14:33:9E</t>
  </si>
  <si>
    <t>00:0C:29:14:33:C6</t>
  </si>
  <si>
    <t>WANem 3</t>
  </si>
  <si>
    <t>WANem 6</t>
  </si>
  <si>
    <t>WANem 8</t>
  </si>
  <si>
    <t>WANem 1</t>
  </si>
  <si>
    <t>WANem 4</t>
  </si>
  <si>
    <t>WANem 7</t>
  </si>
  <si>
    <t>WANem 9</t>
  </si>
  <si>
    <t>WANem 2</t>
  </si>
  <si>
    <t>WANem 5</t>
  </si>
  <si>
    <t>Management</t>
  </si>
  <si>
    <t>ubuntu-21</t>
  </si>
  <si>
    <t>ubuntu-22</t>
  </si>
  <si>
    <t>172.16.3.100</t>
  </si>
  <si>
    <t>172.16.3.90</t>
  </si>
  <si>
    <t>10.192.1.1</t>
  </si>
  <si>
    <t>10.192.2.1</t>
  </si>
  <si>
    <t>10.192.3.1</t>
  </si>
  <si>
    <t>10.192.4.1</t>
  </si>
  <si>
    <t>10.192.5.1</t>
  </si>
  <si>
    <t>10.192.6.1</t>
  </si>
  <si>
    <t>10.192.7.1</t>
  </si>
  <si>
    <t>10.192.8.1</t>
  </si>
  <si>
    <t>10.192.9.1</t>
  </si>
  <si>
    <t>DC1a</t>
  </si>
  <si>
    <t>DC2a</t>
  </si>
  <si>
    <t>DC3a</t>
  </si>
  <si>
    <t>DC3b</t>
  </si>
  <si>
    <t>DC1b</t>
  </si>
  <si>
    <t>DC2b</t>
  </si>
  <si>
    <t>Branch_04</t>
  </si>
  <si>
    <t>Branch01</t>
  </si>
  <si>
    <t>Branch02</t>
  </si>
  <si>
    <t>Off_Net</t>
  </si>
  <si>
    <t>ISFW</t>
  </si>
  <si>
    <t>Kali</t>
  </si>
  <si>
    <t>Mac-Monterey-01</t>
  </si>
  <si>
    <t>Mac-Monterey-02</t>
  </si>
  <si>
    <t>CentOS-0</t>
  </si>
  <si>
    <t>FGT Branch_01</t>
  </si>
  <si>
    <t>FGT Branch_02</t>
  </si>
  <si>
    <t>FGT HUB1a (Enterprise Core 1a)</t>
  </si>
  <si>
    <t>FGT HUB1b (Enterprise Core 1b)</t>
  </si>
  <si>
    <t>FGT HUB2a (Enterprise Core 2a)</t>
  </si>
  <si>
    <t>Network Address</t>
  </si>
  <si>
    <t>Usable Host Range</t>
  </si>
  <si>
    <t>Broadcast Address:</t>
  </si>
  <si>
    <t>10.198.0.0</t>
  </si>
  <si>
    <t>10.198.0.1 - 10.198.0.6</t>
  </si>
  <si>
    <t>10.198.0.7</t>
  </si>
  <si>
    <t>CIDR Notation</t>
  </si>
  <si>
    <t>/29</t>
  </si>
  <si>
    <t>10.1.4.0</t>
  </si>
  <si>
    <t>FortiVoice</t>
  </si>
  <si>
    <t>FortiRecorder</t>
  </si>
  <si>
    <t>PLC</t>
  </si>
  <si>
    <t>10.100.95</t>
  </si>
  <si>
    <t>FSW-02</t>
  </si>
  <si>
    <t>FSW-03</t>
  </si>
  <si>
    <t>FSW-04</t>
  </si>
  <si>
    <t>FSW-01</t>
  </si>
  <si>
    <t>Control</t>
  </si>
  <si>
    <t>Metasploitable2</t>
  </si>
  <si>
    <t>DMZ</t>
  </si>
  <si>
    <t>10.100.78</t>
  </si>
  <si>
    <t xml:space="preserve"> Hub1A VIP 4</t>
  </si>
  <si>
    <t xml:space="preserve"> Hub1A VIP 5</t>
  </si>
  <si>
    <t>14 &amp; VirtSvr 24</t>
  </si>
  <si>
    <t>15 &amp; VirtSvr 25</t>
  </si>
  <si>
    <t>FortiPAM</t>
  </si>
  <si>
    <t>Engineering</t>
  </si>
  <si>
    <t>Branch03</t>
  </si>
  <si>
    <t>ubuntu_22_04_3 (template)</t>
  </si>
  <si>
    <t xml:space="preserve">Win2019-02-AD </t>
  </si>
  <si>
    <t>FGT Virtual_Wire_Pair</t>
  </si>
  <si>
    <t>61&amp;200&amp;201</t>
  </si>
  <si>
    <t>FortiGate VM01 - Hub01a</t>
  </si>
  <si>
    <t>FortiGate VM01 - Hub02a</t>
  </si>
  <si>
    <t>FortiGate VM01 - Hub01b</t>
  </si>
  <si>
    <t>FortiGate VM01 - Branch01</t>
  </si>
  <si>
    <t>FortiGate VM01 - Branch02</t>
  </si>
  <si>
    <t>FortiGate VM01 - Branch03</t>
  </si>
  <si>
    <t>FortiGate VM01 - Transparent1</t>
  </si>
  <si>
    <t>FortiGate VM01 - First_Floor</t>
  </si>
  <si>
    <t>FGVM01TM24003583</t>
  </si>
  <si>
    <t>vWirePair01</t>
  </si>
  <si>
    <t>FGVM01TM24005050</t>
  </si>
  <si>
    <t>FGVM01TM24005051</t>
  </si>
  <si>
    <t>FGVM01TM24005052</t>
  </si>
  <si>
    <t>FGVM01TM24005053</t>
  </si>
  <si>
    <t>FGVM01TM24005055</t>
  </si>
  <si>
    <t>FGVM01TM24005056</t>
  </si>
  <si>
    <t>FGVM01TM24005054</t>
  </si>
  <si>
    <t>FGT Branch_03</t>
  </si>
  <si>
    <t>net11</t>
  </si>
  <si>
    <t>CoreWAN4</t>
  </si>
  <si>
    <t>net10</t>
  </si>
  <si>
    <t>FTNT_MGT</t>
  </si>
  <si>
    <t>net9</t>
  </si>
  <si>
    <t>CoreWAN3</t>
  </si>
  <si>
    <t>HA</t>
  </si>
  <si>
    <t>net8</t>
  </si>
  <si>
    <t>CoreWAN2</t>
  </si>
  <si>
    <t>net7</t>
  </si>
  <si>
    <t>CoreWAN1</t>
  </si>
  <si>
    <t>FortiLink2</t>
  </si>
  <si>
    <t>net6</t>
  </si>
  <si>
    <t>BranchWAN6</t>
  </si>
  <si>
    <t>FTNT_MGT disconnect</t>
  </si>
  <si>
    <t>FortiLink1</t>
  </si>
  <si>
    <t>net5</t>
  </si>
  <si>
    <t>BranchWAN5</t>
  </si>
  <si>
    <t>net4</t>
  </si>
  <si>
    <t>BranchWAN4</t>
  </si>
  <si>
    <t>net3</t>
  </si>
  <si>
    <t>BranchWAN3</t>
  </si>
  <si>
    <t>LAN</t>
  </si>
  <si>
    <t>net2</t>
  </si>
  <si>
    <t>BranchWAN2</t>
  </si>
  <si>
    <t>Ubuntu</t>
  </si>
  <si>
    <t>WAN2</t>
  </si>
  <si>
    <t>net1</t>
  </si>
  <si>
    <t>BranchWAN1</t>
  </si>
  <si>
    <t>WAN1</t>
  </si>
  <si>
    <t>net0</t>
  </si>
  <si>
    <t>vmbr0</t>
  </si>
  <si>
    <t>FortiGate</t>
  </si>
  <si>
    <t>Hub</t>
  </si>
  <si>
    <t>Branch</t>
  </si>
  <si>
    <t>Proxmox</t>
  </si>
  <si>
    <t>FortiGate Interfaces</t>
  </si>
  <si>
    <t>ens18</t>
  </si>
  <si>
    <t>ens19</t>
  </si>
  <si>
    <t>ens20</t>
  </si>
  <si>
    <t>ens21</t>
  </si>
  <si>
    <t>ens22</t>
  </si>
  <si>
    <t>ens23</t>
  </si>
  <si>
    <t>enp2s1</t>
  </si>
  <si>
    <t>enp2s2</t>
  </si>
  <si>
    <t>enp2s3</t>
  </si>
  <si>
    <t>enp2s4</t>
  </si>
  <si>
    <t>enp2s5</t>
  </si>
  <si>
    <t>enp2s6</t>
  </si>
  <si>
    <t>Bridge</t>
  </si>
  <si>
    <t>Hardware</t>
  </si>
  <si>
    <t>10.198.66.1</t>
  </si>
  <si>
    <t>FGT Branch_04</t>
  </si>
  <si>
    <t>DMZ01</t>
  </si>
  <si>
    <t>DMZ02</t>
  </si>
  <si>
    <t>BranchWAN-7/8</t>
  </si>
  <si>
    <t>BranchWAN-1/2</t>
  </si>
  <si>
    <t>BranchWAN-3/4</t>
  </si>
  <si>
    <t>CoreWAN-1/2</t>
  </si>
  <si>
    <t>CoreWAN-3/4</t>
  </si>
  <si>
    <t>BranchWAN-5/6</t>
  </si>
  <si>
    <t>with FSW's</t>
  </si>
  <si>
    <t>TCGUI VM</t>
  </si>
  <si>
    <t>NIC</t>
  </si>
  <si>
    <t>IP</t>
  </si>
  <si>
    <t>TCGUI Interfaces</t>
  </si>
  <si>
    <t>OOB Interfaces</t>
  </si>
  <si>
    <t>172.16.3.80</t>
  </si>
  <si>
    <t>10.100.55.80</t>
  </si>
  <si>
    <t>&lt;LAN Bridge&gt;</t>
  </si>
  <si>
    <t>&lt;LAN IP&gt;</t>
  </si>
  <si>
    <t>10.100.55.xx</t>
  </si>
  <si>
    <t>Ubuntu-xx/Windows/Mac Interfaces</t>
  </si>
  <si>
    <t>FMG/FAZ/FAC/etc</t>
  </si>
  <si>
    <t>Proxmox VE</t>
  </si>
  <si>
    <t>Description</t>
  </si>
  <si>
    <t>VMid</t>
  </si>
  <si>
    <t>Branch_LAN1</t>
  </si>
  <si>
    <t>Branch_LAN2</t>
  </si>
  <si>
    <t>Branch_LAN3</t>
  </si>
  <si>
    <t>Branch_WAN1</t>
  </si>
  <si>
    <t>Branch_WAN2</t>
  </si>
  <si>
    <t>Branch_WAN3</t>
  </si>
  <si>
    <t>Branch_WAN4</t>
  </si>
  <si>
    <t>Branch_WAN6</t>
  </si>
  <si>
    <t>Branch_WAN5</t>
  </si>
  <si>
    <t>Core_WAN1</t>
  </si>
  <si>
    <t>Core_WAN2</t>
  </si>
  <si>
    <t>Core_WAN3</t>
  </si>
  <si>
    <t>Core_WAN4</t>
  </si>
  <si>
    <t>DMZ_01</t>
  </si>
  <si>
    <t>DMZ_02</t>
  </si>
  <si>
    <t>HA_HUB01</t>
  </si>
  <si>
    <t>HA_HUB02</t>
  </si>
  <si>
    <t>ISFW_01</t>
  </si>
  <si>
    <t>ISFW_02</t>
  </si>
  <si>
    <t>OFF_NET</t>
  </si>
  <si>
    <t>Tag</t>
  </si>
  <si>
    <t>VNETs</t>
  </si>
  <si>
    <t>ID</t>
  </si>
  <si>
    <t>Alias</t>
  </si>
  <si>
    <t>Zone:</t>
  </si>
  <si>
    <t>Type:</t>
  </si>
  <si>
    <t>SELab</t>
  </si>
  <si>
    <t>vlan</t>
  </si>
  <si>
    <t>SDN</t>
  </si>
  <si>
    <t>Bridge:</t>
  </si>
  <si>
    <t>FortiLink_FGT1_1</t>
  </si>
  <si>
    <t>FortiLink_FGT1_2</t>
  </si>
  <si>
    <t>ICL_1</t>
  </si>
  <si>
    <t>ICL_2</t>
  </si>
  <si>
    <t>FortiLink_FSW1_3</t>
  </si>
  <si>
    <t>FortiLink_FSW1_4</t>
  </si>
  <si>
    <t>FortiLink_FSW2_3</t>
  </si>
  <si>
    <t>FortiLink_FSW2_4</t>
  </si>
  <si>
    <t>ubuntu-00</t>
  </si>
  <si>
    <t>ubuntu-01</t>
  </si>
  <si>
    <t>ubuntu-02</t>
  </si>
  <si>
    <t>ubuntu-03</t>
  </si>
  <si>
    <t>ubuntu-04</t>
  </si>
  <si>
    <t>ubuntu-05</t>
  </si>
  <si>
    <t>ubuntu-06</t>
  </si>
  <si>
    <t>ubuntu-OOB</t>
  </si>
  <si>
    <t>401-409 Branch</t>
  </si>
  <si>
    <t>411-419 Corporate Data Center</t>
  </si>
  <si>
    <t>421-429 Cloud Data Center</t>
  </si>
  <si>
    <t>431-439 Off-Net</t>
  </si>
  <si>
    <t>Win10-01</t>
  </si>
  <si>
    <t>Win10-02</t>
  </si>
  <si>
    <t>PVE01</t>
  </si>
  <si>
    <t>PVE02</t>
  </si>
  <si>
    <t>PVE03</t>
  </si>
  <si>
    <t>TCGUI</t>
  </si>
  <si>
    <t>FGT-91G</t>
  </si>
  <si>
    <t>FS-224E-POE (VLAN_LAB_OOB)</t>
  </si>
  <si>
    <t>450-459 Windows</t>
  </si>
  <si>
    <t>460-469 Mac</t>
  </si>
  <si>
    <t>470-479 Kali</t>
  </si>
  <si>
    <t>480-489</t>
  </si>
  <si>
    <t>490-499 Templates</t>
  </si>
  <si>
    <t>101-109 Branch FGTs</t>
  </si>
  <si>
    <t>110-119 Hub Corporate FGTs</t>
  </si>
  <si>
    <t>190-199 Templates</t>
  </si>
  <si>
    <t>201-209 FMG/FAZ</t>
  </si>
  <si>
    <t>120-129 Hub Cloud FGTs</t>
  </si>
  <si>
    <t>140-189</t>
  </si>
  <si>
    <t xml:space="preserve">130-139 Corporate ISFW </t>
  </si>
  <si>
    <t>FortiSwitch</t>
  </si>
  <si>
    <t>301-309 Corporate FSWs</t>
  </si>
  <si>
    <t>310-389</t>
  </si>
  <si>
    <t>390-399 Templates</t>
  </si>
  <si>
    <t>ESXi04</t>
  </si>
  <si>
    <t>Hypervisor</t>
  </si>
  <si>
    <t>501-509 ESXi</t>
  </si>
  <si>
    <t>590-599 Templates</t>
  </si>
  <si>
    <t>218 FortiSRA-02</t>
  </si>
  <si>
    <t>219 FortiSRA-01</t>
  </si>
  <si>
    <t>FortiSRA-01</t>
  </si>
  <si>
    <t>FortiSRA-02</t>
  </si>
  <si>
    <t>Win2019-01-AD</t>
  </si>
  <si>
    <t>231 FortiMail</t>
  </si>
  <si>
    <t>18&amp;118</t>
  </si>
  <si>
    <t>19&amp;119</t>
  </si>
  <si>
    <t>Off_Net (SRA)</t>
  </si>
  <si>
    <t>FortiGate VM01 - Off_Net</t>
  </si>
  <si>
    <t>FGT Off_Net</t>
  </si>
  <si>
    <t>cFOS-01</t>
  </si>
  <si>
    <t>vCollector</t>
  </si>
  <si>
    <t>291 OnSight vCollector</t>
  </si>
  <si>
    <t>440-449 OOB/TCGUI/IaC</t>
  </si>
  <si>
    <t>510-519 Proxmox</t>
  </si>
  <si>
    <t>NAS01</t>
  </si>
  <si>
    <t>FGT-01-ESXi</t>
  </si>
  <si>
    <t>FortiPOC (Fabric Studio)</t>
  </si>
  <si>
    <t>520-529 FortiPOC (Fabric Studio)</t>
  </si>
  <si>
    <t>Rpi02</t>
  </si>
  <si>
    <t>Rpi01</t>
  </si>
  <si>
    <t>FGT-Mfg-Floor</t>
  </si>
  <si>
    <t>PVE-IaC</t>
  </si>
  <si>
    <t>FTNTMGT</t>
  </si>
  <si>
    <t>BRCHWAN1/2</t>
  </si>
  <si>
    <t>BRCHWAN3/4</t>
  </si>
  <si>
    <t>BRCHWAN5/6</t>
  </si>
  <si>
    <t>COREWAN1/2</t>
  </si>
  <si>
    <t>COREWAN3/4</t>
  </si>
  <si>
    <t>BRCHWAN7/8</t>
  </si>
  <si>
    <t>ISFW01</t>
  </si>
  <si>
    <t>ISFW02</t>
  </si>
  <si>
    <t>BRCHLAN1</t>
  </si>
  <si>
    <t>BRCHLAN2</t>
  </si>
  <si>
    <t>BRCHLAN3</t>
  </si>
  <si>
    <t>BRCHLAN4</t>
  </si>
  <si>
    <t>OFFNET</t>
  </si>
  <si>
    <t>Proxmox Vnet</t>
  </si>
  <si>
    <t>VLAN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</si>
</sst>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0" fillId="2" borderId="1" xfId="0" applyFont="1" applyFill="1" applyBorder="1" applyAlignment="1">
      <alignment horizontal="right"/>
    </xf>
    <xf numFmtId="0" fontId="1" fillId="0" borderId="2" xfId="0" applyFont="1" applyBorder="1"/>
    <xf numFmtId="0" fontId="0" fillId="0" borderId="0" xfId="0" applyBorder="1"/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Fill="1" applyBorder="1"/>
    <xf numFmtId="0" fontId="0" fillId="3" borderId="0" xfId="0" applyFont="1" applyFill="1" applyAlignment="1">
      <alignment horizontal="right"/>
    </xf>
    <xf numFmtId="0" fontId="0" fillId="3" borderId="5" xfId="0" applyFont="1" applyFill="1" applyBorder="1" applyAlignment="1">
      <alignment horizontal="right"/>
    </xf>
    <xf numFmtId="0" fontId="0" fillId="3" borderId="1" xfId="0" applyFont="1" applyFill="1" applyBorder="1" applyAlignment="1">
      <alignment horizontal="right"/>
    </xf>
    <xf numFmtId="0" fontId="0" fillId="3" borderId="6" xfId="0" applyFont="1" applyFill="1" applyBorder="1" applyAlignment="1">
      <alignment horizontal="right"/>
    </xf>
    <xf numFmtId="0" fontId="0" fillId="0" borderId="0" xfId="0" quotePrefix="1"/>
    <xf numFmtId="0" fontId="2" fillId="0" borderId="0" xfId="0" applyFont="1"/>
    <xf numFmtId="0" fontId="0" fillId="3" borderId="0" xfId="0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 applyFill="1"/>
    <xf numFmtId="0" fontId="0" fillId="4" borderId="0" xfId="0" applyFill="1"/>
    <xf numFmtId="0" fontId="1" fillId="4" borderId="0" xfId="0" applyFont="1" applyFill="1"/>
    <xf numFmtId="0" fontId="1" fillId="5" borderId="1" xfId="0" applyFont="1" applyFill="1" applyBorder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6" borderId="0" xfId="0" applyFont="1" applyFill="1"/>
    <xf numFmtId="0" fontId="1" fillId="4" borderId="0" xfId="0" applyFont="1" applyFill="1" applyAlignment="1">
      <alignment horizontal="center"/>
    </xf>
    <xf numFmtId="0" fontId="0" fillId="2" borderId="0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8"/>
  <sheetViews>
    <sheetView tabSelected="1" zoomScale="80" zoomScaleNormal="80" workbookViewId="0">
      <pane xSplit="3" ySplit="3" topLeftCell="D10" activePane="bottomRight" state="frozen"/>
      <selection pane="topRight" activeCell="D1" sqref="D1"/>
      <selection pane="bottomLeft" activeCell="A4" sqref="A4"/>
      <selection pane="bottomRight" activeCell="A30" sqref="A30"/>
    </sheetView>
  </sheetViews>
  <sheetFormatPr defaultRowHeight="14.4" x14ac:dyDescent="0.3"/>
  <cols>
    <col min="1" max="1" width="27.33203125" style="2" bestFit="1" customWidth="1"/>
    <col min="2" max="4" width="13.5546875" bestFit="1" customWidth="1"/>
    <col min="5" max="8" width="15.44140625" bestFit="1" customWidth="1"/>
    <col min="9" max="9" width="16.44140625" bestFit="1" customWidth="1"/>
    <col min="10" max="10" width="17.5546875" bestFit="1" customWidth="1"/>
    <col min="11" max="11" width="13.5546875" bestFit="1" customWidth="1"/>
    <col min="12" max="12" width="13.5546875" customWidth="1"/>
    <col min="13" max="14" width="13.5546875" bestFit="1" customWidth="1"/>
    <col min="15" max="18" width="12.109375" bestFit="1" customWidth="1"/>
    <col min="19" max="23" width="13.5546875" bestFit="1" customWidth="1"/>
    <col min="24" max="24" width="12.5546875" bestFit="1" customWidth="1"/>
    <col min="25" max="25" width="12.5546875" customWidth="1"/>
    <col min="26" max="27" width="13.5546875" bestFit="1" customWidth="1"/>
  </cols>
  <sheetData>
    <row r="1" spans="1:27" x14ac:dyDescent="0.3">
      <c r="A1" s="39" t="s">
        <v>425</v>
      </c>
      <c r="B1" s="4"/>
      <c r="C1" s="4" t="s">
        <v>411</v>
      </c>
      <c r="D1" s="4"/>
      <c r="E1" s="4" t="s">
        <v>412</v>
      </c>
      <c r="F1" s="4" t="s">
        <v>413</v>
      </c>
      <c r="G1" s="4" t="s">
        <v>414</v>
      </c>
      <c r="H1" s="4" t="s">
        <v>415</v>
      </c>
      <c r="I1" s="4" t="s">
        <v>416</v>
      </c>
      <c r="J1" s="4" t="s">
        <v>417</v>
      </c>
      <c r="K1" s="4" t="s">
        <v>285</v>
      </c>
      <c r="L1" s="4" t="s">
        <v>286</v>
      </c>
      <c r="M1" s="4" t="s">
        <v>418</v>
      </c>
      <c r="N1" s="4" t="s">
        <v>419</v>
      </c>
      <c r="O1" s="4" t="s">
        <v>420</v>
      </c>
      <c r="P1" s="4" t="s">
        <v>421</v>
      </c>
      <c r="Q1" s="4" t="s">
        <v>422</v>
      </c>
      <c r="R1" s="4" t="s">
        <v>423</v>
      </c>
      <c r="S1" s="4" t="s">
        <v>424</v>
      </c>
      <c r="T1" s="4"/>
      <c r="U1" s="4"/>
      <c r="V1" s="4"/>
      <c r="W1" s="4"/>
      <c r="X1" s="4"/>
      <c r="Y1" s="4"/>
      <c r="Z1" s="4"/>
      <c r="AA1" s="4"/>
    </row>
    <row r="2" spans="1:27" s="1" customFormat="1" x14ac:dyDescent="0.3">
      <c r="A2" s="39" t="s">
        <v>426</v>
      </c>
      <c r="B2" s="4"/>
      <c r="C2" s="4" t="s">
        <v>148</v>
      </c>
      <c r="D2" s="4" t="s">
        <v>97</v>
      </c>
      <c r="E2" s="4" t="s">
        <v>288</v>
      </c>
      <c r="F2" s="4" t="s">
        <v>289</v>
      </c>
      <c r="G2" s="4" t="s">
        <v>292</v>
      </c>
      <c r="H2" s="4" t="s">
        <v>290</v>
      </c>
      <c r="I2" s="4" t="s">
        <v>291</v>
      </c>
      <c r="J2" s="4" t="s">
        <v>287</v>
      </c>
      <c r="K2" s="4" t="s">
        <v>285</v>
      </c>
      <c r="L2" s="4" t="s">
        <v>286</v>
      </c>
      <c r="M2" s="4" t="s">
        <v>76</v>
      </c>
      <c r="N2" s="4" t="s">
        <v>77</v>
      </c>
      <c r="O2" s="4" t="s">
        <v>27</v>
      </c>
      <c r="P2" s="4" t="s">
        <v>28</v>
      </c>
      <c r="Q2" s="4" t="s">
        <v>29</v>
      </c>
      <c r="R2" s="4" t="s">
        <v>168</v>
      </c>
      <c r="S2" s="4" t="s">
        <v>26</v>
      </c>
      <c r="T2" s="4" t="s">
        <v>208</v>
      </c>
      <c r="U2" s="4" t="s">
        <v>22</v>
      </c>
      <c r="V2" s="4" t="s">
        <v>199</v>
      </c>
      <c r="W2" s="4" t="s">
        <v>23</v>
      </c>
      <c r="X2" s="4" t="s">
        <v>24</v>
      </c>
      <c r="Y2" s="4" t="s">
        <v>193</v>
      </c>
      <c r="Z2" s="4" t="s">
        <v>25</v>
      </c>
      <c r="AA2" s="4" t="s">
        <v>25</v>
      </c>
    </row>
    <row r="3" spans="1:27" x14ac:dyDescent="0.3">
      <c r="A3" s="3" t="s">
        <v>8</v>
      </c>
      <c r="B3" s="5" t="s">
        <v>126</v>
      </c>
      <c r="C3" s="5" t="s">
        <v>17</v>
      </c>
      <c r="D3" s="5" t="s">
        <v>98</v>
      </c>
      <c r="E3" s="5" t="s">
        <v>72</v>
      </c>
      <c r="F3" s="5" t="s">
        <v>73</v>
      </c>
      <c r="G3" s="5" t="s">
        <v>70</v>
      </c>
      <c r="H3" s="5" t="s">
        <v>71</v>
      </c>
      <c r="I3" s="5" t="s">
        <v>74</v>
      </c>
      <c r="J3" s="5" t="s">
        <v>75</v>
      </c>
      <c r="K3" s="5" t="s">
        <v>14</v>
      </c>
      <c r="L3" s="5" t="s">
        <v>202</v>
      </c>
      <c r="M3" s="5" t="s">
        <v>9</v>
      </c>
      <c r="N3" s="5" t="s">
        <v>78</v>
      </c>
      <c r="O3" s="5" t="s">
        <v>79</v>
      </c>
      <c r="P3" s="5" t="s">
        <v>80</v>
      </c>
      <c r="Q3" s="5" t="s">
        <v>81</v>
      </c>
      <c r="R3" s="5" t="s">
        <v>190</v>
      </c>
      <c r="S3" s="5" t="s">
        <v>16</v>
      </c>
      <c r="T3" s="5" t="s">
        <v>10</v>
      </c>
      <c r="U3" s="5" t="s">
        <v>12</v>
      </c>
      <c r="V3" s="5" t="s">
        <v>13</v>
      </c>
      <c r="W3" s="5" t="s">
        <v>11</v>
      </c>
      <c r="X3" s="5" t="s">
        <v>18</v>
      </c>
      <c r="Y3" s="5" t="s">
        <v>194</v>
      </c>
      <c r="Z3" s="5" t="s">
        <v>19</v>
      </c>
      <c r="AA3" s="5" t="s">
        <v>20</v>
      </c>
    </row>
    <row r="4" spans="1:27" x14ac:dyDescent="0.3">
      <c r="A4" s="2" t="s">
        <v>365</v>
      </c>
      <c r="B4" s="6">
        <v>1</v>
      </c>
      <c r="C4" s="6"/>
      <c r="D4" s="6"/>
      <c r="E4" s="6"/>
      <c r="F4" s="6"/>
      <c r="G4" s="6"/>
      <c r="H4" s="6"/>
      <c r="I4" s="6"/>
      <c r="J4" s="6"/>
      <c r="K4" s="6"/>
      <c r="L4" s="6"/>
      <c r="M4" s="15"/>
      <c r="N4" s="6"/>
      <c r="O4" s="6"/>
      <c r="P4" s="6"/>
      <c r="Q4" s="6"/>
      <c r="R4" s="6"/>
      <c r="S4" s="6"/>
      <c r="T4" s="16"/>
      <c r="U4" s="17"/>
      <c r="V4" s="17"/>
      <c r="W4" s="17"/>
      <c r="X4" s="18"/>
      <c r="Y4" s="21"/>
      <c r="Z4" s="6"/>
      <c r="AA4" s="6"/>
    </row>
    <row r="5" spans="1:27" x14ac:dyDescent="0.3">
      <c r="A5" s="3" t="s">
        <v>366</v>
      </c>
      <c r="B5" s="7"/>
      <c r="C5" s="7">
        <v>254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3">
      <c r="A6" s="2" t="s">
        <v>361</v>
      </c>
      <c r="B6" s="6">
        <v>121</v>
      </c>
      <c r="C6" s="6"/>
      <c r="D6" s="6"/>
      <c r="E6" s="6"/>
      <c r="F6" s="6"/>
      <c r="G6" s="6"/>
      <c r="H6" s="6"/>
      <c r="I6" s="6"/>
      <c r="J6" s="6"/>
      <c r="K6" s="6"/>
      <c r="L6" s="6"/>
      <c r="M6" s="15"/>
      <c r="N6" s="6"/>
      <c r="O6" s="6"/>
      <c r="P6" s="6"/>
      <c r="Q6" s="6"/>
      <c r="R6" s="6"/>
      <c r="S6" s="6"/>
      <c r="T6" s="16"/>
      <c r="U6" s="17"/>
      <c r="V6" s="17"/>
      <c r="W6" s="17"/>
      <c r="X6" s="18"/>
      <c r="Y6" s="21"/>
      <c r="Z6" s="6"/>
      <c r="AA6" s="6"/>
    </row>
    <row r="7" spans="1:27" x14ac:dyDescent="0.3">
      <c r="A7" s="3" t="s">
        <v>362</v>
      </c>
      <c r="B7" s="7">
        <v>122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3">
      <c r="A8" s="2" t="s">
        <v>363</v>
      </c>
      <c r="B8" s="6">
        <v>123</v>
      </c>
      <c r="C8" s="6"/>
      <c r="D8" s="6"/>
      <c r="E8" s="6"/>
      <c r="F8" s="6"/>
      <c r="G8" s="6"/>
      <c r="H8" s="6"/>
      <c r="I8" s="6"/>
      <c r="J8" s="6"/>
      <c r="K8" s="6"/>
      <c r="L8" s="6"/>
      <c r="M8" s="15"/>
      <c r="N8" s="6"/>
      <c r="O8" s="6"/>
      <c r="P8" s="6"/>
      <c r="Q8" s="6"/>
      <c r="R8" s="6"/>
      <c r="S8" s="6"/>
      <c r="T8" s="16"/>
      <c r="U8" s="17"/>
      <c r="V8" s="17"/>
      <c r="W8" s="17"/>
      <c r="X8" s="18"/>
      <c r="Y8" s="21"/>
      <c r="Z8" s="6"/>
      <c r="AA8" s="6"/>
    </row>
    <row r="9" spans="1:27" x14ac:dyDescent="0.3">
      <c r="A9" s="3" t="s">
        <v>403</v>
      </c>
      <c r="B9" s="7">
        <v>124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3">
      <c r="A10" s="2" t="s">
        <v>405</v>
      </c>
      <c r="B10" s="6">
        <v>125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15"/>
      <c r="N10" s="6"/>
      <c r="O10" s="6"/>
      <c r="P10" s="6"/>
      <c r="Q10" s="6"/>
      <c r="R10" s="6"/>
      <c r="S10" s="6"/>
      <c r="T10" s="16"/>
      <c r="U10" s="17"/>
      <c r="V10" s="17"/>
      <c r="W10" s="17"/>
      <c r="X10" s="18"/>
      <c r="Y10" s="21"/>
      <c r="Z10" s="6"/>
      <c r="AA10" s="6"/>
    </row>
    <row r="11" spans="1:27" x14ac:dyDescent="0.3">
      <c r="A11" s="3" t="s">
        <v>407</v>
      </c>
      <c r="B11" s="7">
        <v>126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3" t="s">
        <v>408</v>
      </c>
      <c r="B12" s="6">
        <v>127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15"/>
      <c r="N12" s="6"/>
      <c r="O12" s="6"/>
      <c r="P12" s="6"/>
      <c r="Q12" s="6"/>
      <c r="R12" s="6"/>
      <c r="S12" s="6"/>
      <c r="T12" s="16"/>
      <c r="U12" s="17"/>
      <c r="V12" s="17"/>
      <c r="W12" s="17"/>
      <c r="X12" s="18"/>
      <c r="Y12" s="21"/>
      <c r="Z12" s="6"/>
      <c r="AA12" s="6"/>
    </row>
    <row r="13" spans="1:27" x14ac:dyDescent="0.3">
      <c r="A13" s="3" t="s">
        <v>383</v>
      </c>
      <c r="B13" s="7">
        <v>120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3">
      <c r="A14" s="3" t="s">
        <v>410</v>
      </c>
      <c r="B14" s="36">
        <v>130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7"/>
      <c r="V14" s="7"/>
      <c r="W14" s="7"/>
      <c r="X14" s="38"/>
      <c r="Y14" s="36"/>
      <c r="Z14" s="36"/>
      <c r="AA14" s="36"/>
    </row>
    <row r="15" spans="1:27" x14ac:dyDescent="0.3">
      <c r="A15" s="2" t="s">
        <v>399</v>
      </c>
      <c r="B15" s="6">
        <v>21</v>
      </c>
      <c r="C15" s="6">
        <v>21</v>
      </c>
      <c r="D15" s="6"/>
      <c r="E15" s="6"/>
      <c r="F15" s="6"/>
      <c r="G15" s="6"/>
      <c r="H15" s="6"/>
      <c r="I15" s="6"/>
      <c r="J15" s="6"/>
      <c r="K15" s="6"/>
      <c r="L15" s="6"/>
      <c r="M15" s="15"/>
      <c r="N15" s="6"/>
      <c r="O15" s="6"/>
      <c r="P15" s="6"/>
      <c r="Q15" s="6"/>
      <c r="R15" s="6"/>
      <c r="S15" s="6"/>
      <c r="T15" s="16"/>
      <c r="U15" s="17"/>
      <c r="V15" s="17"/>
      <c r="W15" s="17"/>
      <c r="X15" s="18"/>
      <c r="Y15" s="21"/>
      <c r="Z15" s="6"/>
      <c r="AA15" s="6"/>
    </row>
    <row r="16" spans="1:27" x14ac:dyDescent="0.3">
      <c r="A16" s="3" t="s">
        <v>364</v>
      </c>
      <c r="B16" s="7">
        <v>90</v>
      </c>
      <c r="C16" s="7"/>
      <c r="D16" s="7"/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>
        <v>1</v>
      </c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2" t="s">
        <v>173</v>
      </c>
      <c r="B17" s="6">
        <v>88</v>
      </c>
      <c r="C17" s="6">
        <v>88</v>
      </c>
      <c r="D17" s="6"/>
      <c r="E17" s="6"/>
      <c r="F17" s="6"/>
      <c r="G17" s="6"/>
      <c r="H17" s="6"/>
      <c r="I17" s="6"/>
      <c r="J17" s="6"/>
      <c r="K17" s="6"/>
      <c r="L17" s="6"/>
      <c r="M17" s="15"/>
      <c r="N17" s="6"/>
      <c r="O17" s="6"/>
      <c r="P17" s="6"/>
      <c r="Q17" s="6"/>
      <c r="R17" s="6"/>
      <c r="S17" s="6"/>
      <c r="T17" s="16"/>
      <c r="U17" s="17"/>
      <c r="V17" s="17"/>
      <c r="W17" s="17"/>
      <c r="X17" s="18"/>
      <c r="Y17" s="21"/>
      <c r="Z17" s="6"/>
      <c r="AA17" s="6"/>
    </row>
    <row r="18" spans="1:27" x14ac:dyDescent="0.3">
      <c r="A18" s="3" t="s">
        <v>200</v>
      </c>
      <c r="B18" s="7">
        <v>87</v>
      </c>
      <c r="C18" s="7">
        <v>87</v>
      </c>
      <c r="D18" s="7"/>
      <c r="E18" s="7"/>
      <c r="F18" s="7"/>
      <c r="G18" s="7"/>
      <c r="H18" s="7"/>
      <c r="I18" s="7"/>
      <c r="J18" s="7"/>
      <c r="K18" s="7"/>
      <c r="L18" s="7">
        <v>110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3">
      <c r="A19" s="2" t="s">
        <v>179</v>
      </c>
      <c r="B19" s="6">
        <v>51</v>
      </c>
      <c r="C19" s="6">
        <v>51</v>
      </c>
      <c r="D19" s="6">
        <v>51</v>
      </c>
      <c r="E19" s="6"/>
      <c r="F19" s="6"/>
      <c r="G19" s="6"/>
      <c r="H19" s="6">
        <v>2</v>
      </c>
      <c r="I19" s="6"/>
      <c r="J19" s="6"/>
      <c r="K19" s="6">
        <v>1</v>
      </c>
      <c r="L19" s="6"/>
      <c r="M19" s="15">
        <v>1</v>
      </c>
      <c r="N19" s="6"/>
      <c r="O19" s="6"/>
      <c r="P19" s="6"/>
      <c r="Q19" s="6"/>
      <c r="R19" s="6"/>
      <c r="S19" s="6"/>
      <c r="T19" s="16"/>
      <c r="U19" s="17"/>
      <c r="V19" s="17"/>
      <c r="W19" s="17"/>
      <c r="X19" s="18"/>
      <c r="Y19" s="21"/>
      <c r="Z19" s="6">
        <v>1</v>
      </c>
      <c r="AA19" s="6"/>
    </row>
    <row r="20" spans="1:27" x14ac:dyDescent="0.3">
      <c r="A20" s="3" t="s">
        <v>180</v>
      </c>
      <c r="B20" s="7">
        <v>52</v>
      </c>
      <c r="C20" s="7">
        <v>52</v>
      </c>
      <c r="D20" s="7">
        <v>52</v>
      </c>
      <c r="E20" s="7"/>
      <c r="F20" s="7"/>
      <c r="G20" s="7"/>
      <c r="H20" s="7">
        <v>3</v>
      </c>
      <c r="I20" s="7"/>
      <c r="J20" s="7"/>
      <c r="K20" s="7">
        <v>2</v>
      </c>
      <c r="L20" s="7"/>
      <c r="M20" s="7">
        <v>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3">
      <c r="A21" s="2" t="s">
        <v>181</v>
      </c>
      <c r="B21" s="6">
        <v>53</v>
      </c>
      <c r="C21" s="6">
        <v>53</v>
      </c>
      <c r="D21" s="6">
        <v>53</v>
      </c>
      <c r="E21" s="6"/>
      <c r="F21" s="6"/>
      <c r="G21" s="6"/>
      <c r="H21" s="6"/>
      <c r="I21" s="6">
        <v>2</v>
      </c>
      <c r="J21" s="6"/>
      <c r="K21" s="6"/>
      <c r="L21" s="6"/>
      <c r="M21" s="15"/>
      <c r="N21" s="6">
        <v>1</v>
      </c>
      <c r="O21" s="6"/>
      <c r="P21" s="6"/>
      <c r="Q21" s="6"/>
      <c r="R21" s="6"/>
      <c r="S21" s="6"/>
      <c r="T21" s="16"/>
      <c r="U21" s="17"/>
      <c r="V21" s="17"/>
      <c r="W21" s="17"/>
      <c r="X21" s="18"/>
      <c r="Y21" s="21"/>
      <c r="Z21" s="6">
        <v>2</v>
      </c>
      <c r="AA21" s="6"/>
    </row>
    <row r="22" spans="1:27" x14ac:dyDescent="0.3">
      <c r="A22" s="3" t="s">
        <v>177</v>
      </c>
      <c r="B22" s="7">
        <v>55</v>
      </c>
      <c r="C22" s="7">
        <v>55</v>
      </c>
      <c r="D22" s="7">
        <v>55</v>
      </c>
      <c r="E22" s="7">
        <v>2</v>
      </c>
      <c r="F22" s="7"/>
      <c r="G22" s="7"/>
      <c r="H22" s="7"/>
      <c r="I22" s="7"/>
      <c r="J22" s="7"/>
      <c r="K22" s="7"/>
      <c r="L22" s="7"/>
      <c r="M22" s="7"/>
      <c r="N22" s="7"/>
      <c r="O22" s="7">
        <v>1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>
        <v>14</v>
      </c>
      <c r="AA22" s="7"/>
    </row>
    <row r="23" spans="1:27" x14ac:dyDescent="0.3">
      <c r="A23" s="2" t="s">
        <v>178</v>
      </c>
      <c r="B23" s="6">
        <v>56</v>
      </c>
      <c r="C23" s="6">
        <v>56</v>
      </c>
      <c r="D23" s="6">
        <v>56</v>
      </c>
      <c r="E23" s="6"/>
      <c r="F23" s="6">
        <v>2</v>
      </c>
      <c r="G23" s="6"/>
      <c r="H23" s="6"/>
      <c r="I23" s="6"/>
      <c r="J23" s="6"/>
      <c r="K23" s="6"/>
      <c r="L23" s="6"/>
      <c r="M23" s="15"/>
      <c r="N23" s="6"/>
      <c r="O23" s="6"/>
      <c r="P23" s="6">
        <v>1</v>
      </c>
      <c r="Q23" s="6"/>
      <c r="R23" s="6"/>
      <c r="S23" s="6"/>
      <c r="T23" s="16"/>
      <c r="U23" s="17"/>
      <c r="V23" s="17"/>
      <c r="W23" s="17"/>
      <c r="X23" s="18"/>
      <c r="Y23" s="21"/>
      <c r="Z23" s="6"/>
      <c r="AA23" s="6">
        <v>14</v>
      </c>
    </row>
    <row r="24" spans="1:27" x14ac:dyDescent="0.3">
      <c r="A24" s="3" t="s">
        <v>231</v>
      </c>
      <c r="B24" s="7">
        <v>57</v>
      </c>
      <c r="C24" s="7">
        <v>57</v>
      </c>
      <c r="D24" s="7">
        <v>57</v>
      </c>
      <c r="E24" s="7"/>
      <c r="F24" s="7"/>
      <c r="G24" s="7">
        <v>2</v>
      </c>
      <c r="H24" s="7"/>
      <c r="I24" s="7"/>
      <c r="J24" s="7"/>
      <c r="K24" s="7"/>
      <c r="L24" s="7"/>
      <c r="M24" s="7"/>
      <c r="N24" s="7"/>
      <c r="O24" s="7"/>
      <c r="P24" s="7"/>
      <c r="Q24" s="7">
        <v>1</v>
      </c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3">
      <c r="A25" s="2" t="s">
        <v>284</v>
      </c>
      <c r="B25" s="6">
        <v>58</v>
      </c>
      <c r="C25" s="6">
        <v>58</v>
      </c>
      <c r="D25" s="6">
        <v>58</v>
      </c>
      <c r="E25" s="6"/>
      <c r="F25" s="6"/>
      <c r="G25" s="6"/>
      <c r="H25" s="6"/>
      <c r="I25" s="6"/>
      <c r="J25" s="6"/>
      <c r="K25" s="6"/>
      <c r="L25" s="6"/>
      <c r="M25" s="15"/>
      <c r="N25" s="6"/>
      <c r="O25" s="6"/>
      <c r="P25" s="6"/>
      <c r="Q25" s="6"/>
      <c r="R25" s="6">
        <v>1</v>
      </c>
      <c r="S25" s="6"/>
      <c r="T25" s="16"/>
      <c r="U25" s="17"/>
      <c r="V25" s="17"/>
      <c r="W25" s="17"/>
      <c r="X25" s="18"/>
      <c r="Y25" s="21"/>
      <c r="Z25" s="6"/>
      <c r="AA25" s="6"/>
    </row>
    <row r="26" spans="1:27" x14ac:dyDescent="0.3">
      <c r="A26" s="3" t="s">
        <v>7</v>
      </c>
      <c r="B26" s="7">
        <v>62</v>
      </c>
      <c r="C26" s="7">
        <v>62</v>
      </c>
      <c r="D26" s="7">
        <v>60</v>
      </c>
      <c r="E26" s="7"/>
      <c r="F26" s="7"/>
      <c r="G26" s="7"/>
      <c r="H26" s="7"/>
      <c r="I26" s="7"/>
      <c r="J26" s="7"/>
      <c r="K26" s="7"/>
      <c r="L26" s="7"/>
      <c r="M26" s="7">
        <v>101</v>
      </c>
      <c r="N26" s="7"/>
      <c r="O26" s="7"/>
      <c r="P26" s="7"/>
      <c r="Q26" s="7"/>
      <c r="R26" s="7"/>
      <c r="S26" s="7"/>
      <c r="T26" s="7">
        <v>1</v>
      </c>
      <c r="U26" s="7"/>
      <c r="V26" s="7"/>
      <c r="W26" s="7">
        <v>1</v>
      </c>
      <c r="X26" s="7"/>
      <c r="Y26" s="7"/>
      <c r="Z26" s="7"/>
      <c r="AA26" s="7"/>
    </row>
    <row r="27" spans="1:27" x14ac:dyDescent="0.3">
      <c r="A27" s="2" t="s">
        <v>212</v>
      </c>
      <c r="B27" s="6" t="s">
        <v>213</v>
      </c>
      <c r="C27" s="6">
        <v>61</v>
      </c>
      <c r="D27" s="6">
        <v>61</v>
      </c>
      <c r="E27" s="6"/>
      <c r="F27" s="6"/>
      <c r="G27" s="6"/>
      <c r="H27" s="6"/>
      <c r="I27" s="6"/>
      <c r="J27" s="6"/>
      <c r="K27" s="6"/>
      <c r="L27" s="6"/>
      <c r="M27" s="15"/>
      <c r="N27" s="6"/>
      <c r="O27" s="6"/>
      <c r="P27" s="6">
        <v>2</v>
      </c>
      <c r="Q27" s="6"/>
      <c r="R27" s="6"/>
      <c r="S27" s="6"/>
      <c r="T27" s="16"/>
      <c r="U27" s="17"/>
      <c r="V27" s="17"/>
      <c r="W27" s="17"/>
      <c r="X27" s="18"/>
      <c r="Y27" s="21"/>
      <c r="Z27" s="6"/>
      <c r="AA27" s="6"/>
    </row>
    <row r="28" spans="1:27" x14ac:dyDescent="0.3">
      <c r="A28" s="3" t="s">
        <v>397</v>
      </c>
      <c r="B28" s="7">
        <v>60</v>
      </c>
      <c r="C28" s="7">
        <v>60</v>
      </c>
      <c r="D28" s="7">
        <v>62</v>
      </c>
      <c r="E28" s="7"/>
      <c r="F28" s="7">
        <v>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>
        <v>2</v>
      </c>
      <c r="T28" s="7"/>
      <c r="U28" s="7"/>
      <c r="V28" s="7"/>
      <c r="W28" s="7"/>
      <c r="X28" s="7"/>
      <c r="Y28" s="7"/>
      <c r="Z28" s="7"/>
      <c r="AA28" s="7"/>
    </row>
    <row r="29" spans="1:27" x14ac:dyDescent="0.3">
      <c r="A29" s="2" t="s">
        <v>198</v>
      </c>
      <c r="B29" s="6">
        <v>91</v>
      </c>
      <c r="C29" s="6">
        <v>91</v>
      </c>
      <c r="D29" s="6"/>
      <c r="E29" s="6"/>
      <c r="F29" s="6"/>
      <c r="G29" s="6"/>
      <c r="H29" s="6"/>
      <c r="I29" s="6"/>
      <c r="J29" s="6"/>
      <c r="K29" s="6"/>
      <c r="L29" s="6"/>
      <c r="M29" s="15"/>
      <c r="N29" s="6"/>
      <c r="O29" s="6"/>
      <c r="P29" s="6"/>
      <c r="Q29" s="6"/>
      <c r="R29" s="6"/>
      <c r="S29" s="6"/>
      <c r="T29" s="16"/>
      <c r="U29" s="17"/>
      <c r="V29" s="17"/>
      <c r="W29" s="17"/>
      <c r="X29" s="18"/>
      <c r="Y29" s="21"/>
      <c r="Z29" s="6"/>
      <c r="AA29" s="6"/>
    </row>
    <row r="30" spans="1:27" x14ac:dyDescent="0.3">
      <c r="A30" s="3" t="s">
        <v>195</v>
      </c>
      <c r="B30" s="7">
        <v>92</v>
      </c>
      <c r="C30" s="7">
        <v>92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3">
      <c r="A31" s="2" t="s">
        <v>196</v>
      </c>
      <c r="B31" s="6">
        <v>93</v>
      </c>
      <c r="C31" s="6">
        <v>93</v>
      </c>
      <c r="D31" s="6"/>
      <c r="E31" s="6"/>
      <c r="F31" s="6"/>
      <c r="G31" s="6"/>
      <c r="H31" s="6"/>
      <c r="I31" s="6"/>
      <c r="J31" s="6"/>
      <c r="K31" s="6"/>
      <c r="L31" s="6"/>
      <c r="M31" s="15"/>
      <c r="N31" s="6"/>
      <c r="O31" s="6"/>
      <c r="P31" s="6"/>
      <c r="Q31" s="6"/>
      <c r="R31" s="6"/>
      <c r="S31" s="6"/>
      <c r="T31" s="16"/>
      <c r="U31" s="17"/>
      <c r="V31" s="17"/>
      <c r="W31" s="17"/>
      <c r="X31" s="18"/>
      <c r="Y31" s="21"/>
      <c r="Z31" s="6"/>
      <c r="AA31" s="6"/>
    </row>
    <row r="32" spans="1:27" x14ac:dyDescent="0.3">
      <c r="A32" s="3" t="s">
        <v>197</v>
      </c>
      <c r="B32" s="7">
        <v>94</v>
      </c>
      <c r="C32" s="7">
        <v>94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3">
      <c r="A33" s="2" t="s">
        <v>0</v>
      </c>
      <c r="B33" s="6">
        <v>2</v>
      </c>
      <c r="C33" s="6">
        <v>2</v>
      </c>
      <c r="D33" s="6"/>
      <c r="E33" s="6"/>
      <c r="F33" s="6"/>
      <c r="G33" s="6"/>
      <c r="H33" s="6"/>
      <c r="I33" s="6"/>
      <c r="J33" s="6"/>
      <c r="K33" s="6"/>
      <c r="L33" s="6"/>
      <c r="M33" s="15">
        <v>2</v>
      </c>
      <c r="N33" s="6"/>
      <c r="O33" s="6"/>
      <c r="P33" s="6"/>
      <c r="Q33" s="6"/>
      <c r="R33" s="6"/>
      <c r="S33" s="6"/>
      <c r="T33" s="16"/>
      <c r="U33" s="17"/>
      <c r="V33" s="17"/>
      <c r="W33" s="17"/>
      <c r="X33" s="18"/>
      <c r="Y33" s="21"/>
      <c r="Z33" s="6"/>
      <c r="AA33" s="6"/>
    </row>
    <row r="34" spans="1:27" x14ac:dyDescent="0.3">
      <c r="A34" s="3" t="s">
        <v>3</v>
      </c>
      <c r="B34" s="7">
        <v>9</v>
      </c>
      <c r="C34" s="7">
        <v>9</v>
      </c>
      <c r="D34" s="7"/>
      <c r="E34" s="7"/>
      <c r="F34" s="7"/>
      <c r="G34" s="7"/>
      <c r="H34" s="7"/>
      <c r="I34" s="7"/>
      <c r="J34" s="7"/>
      <c r="K34" s="7"/>
      <c r="L34" s="7"/>
      <c r="M34" s="7">
        <v>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3">
      <c r="A35" s="2" t="s">
        <v>1</v>
      </c>
      <c r="B35" s="6">
        <v>12</v>
      </c>
      <c r="C35" s="6">
        <v>12</v>
      </c>
      <c r="D35" s="6"/>
      <c r="E35" s="6"/>
      <c r="F35" s="6"/>
      <c r="G35" s="6"/>
      <c r="H35" s="6"/>
      <c r="I35" s="6"/>
      <c r="J35" s="6"/>
      <c r="K35" s="6"/>
      <c r="L35" s="6"/>
      <c r="M35" s="15">
        <v>12</v>
      </c>
      <c r="N35" s="6"/>
      <c r="O35" s="6"/>
      <c r="P35" s="6"/>
      <c r="Q35" s="6"/>
      <c r="R35" s="6"/>
      <c r="S35" s="6"/>
      <c r="T35" s="16"/>
      <c r="U35" s="17"/>
      <c r="V35" s="17"/>
      <c r="W35" s="17"/>
      <c r="X35" s="18"/>
      <c r="Y35" s="21"/>
      <c r="Z35" s="6"/>
      <c r="AA35" s="6"/>
    </row>
    <row r="36" spans="1:27" x14ac:dyDescent="0.3">
      <c r="A36" s="3" t="s">
        <v>4</v>
      </c>
      <c r="B36" s="7">
        <v>13</v>
      </c>
      <c r="C36" s="7">
        <v>13</v>
      </c>
      <c r="D36" s="7"/>
      <c r="E36" s="7"/>
      <c r="F36" s="7"/>
      <c r="G36" s="7"/>
      <c r="H36" s="7"/>
      <c r="I36" s="7"/>
      <c r="J36" s="7"/>
      <c r="K36" s="7"/>
      <c r="L36" s="7"/>
      <c r="M36" s="7">
        <v>13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3">
      <c r="A37" s="2" t="s">
        <v>191</v>
      </c>
      <c r="B37" s="6">
        <v>16</v>
      </c>
      <c r="C37" s="6">
        <v>16</v>
      </c>
      <c r="D37" s="6"/>
      <c r="E37" s="6"/>
      <c r="F37" s="6"/>
      <c r="G37" s="6"/>
      <c r="H37" s="6"/>
      <c r="I37" s="6"/>
      <c r="J37" s="6"/>
      <c r="K37" s="6"/>
      <c r="L37" s="6"/>
      <c r="M37" s="15">
        <v>16</v>
      </c>
      <c r="N37" s="6"/>
      <c r="O37" s="6"/>
      <c r="P37" s="6"/>
      <c r="Q37" s="6"/>
      <c r="R37" s="6"/>
      <c r="S37" s="6"/>
      <c r="T37" s="16"/>
      <c r="U37" s="17"/>
      <c r="V37" s="17"/>
      <c r="W37" s="17"/>
      <c r="X37" s="18"/>
      <c r="Y37" s="21"/>
      <c r="Z37" s="6"/>
      <c r="AA37" s="6"/>
    </row>
    <row r="38" spans="1:27" x14ac:dyDescent="0.3">
      <c r="A38" s="3" t="s">
        <v>192</v>
      </c>
      <c r="B38" s="7">
        <v>17</v>
      </c>
      <c r="C38" s="7">
        <v>17</v>
      </c>
      <c r="D38" s="7"/>
      <c r="E38" s="7"/>
      <c r="F38" s="7"/>
      <c r="G38" s="7"/>
      <c r="H38" s="7"/>
      <c r="I38" s="7"/>
      <c r="J38" s="7"/>
      <c r="K38" s="7"/>
      <c r="L38" s="7"/>
      <c r="M38" s="7">
        <v>17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3">
      <c r="A39" s="2" t="s">
        <v>207</v>
      </c>
      <c r="B39" s="6" t="s">
        <v>393</v>
      </c>
      <c r="C39" s="6" t="s">
        <v>393</v>
      </c>
      <c r="D39" s="6"/>
      <c r="E39" s="6"/>
      <c r="F39" s="6"/>
      <c r="G39" s="6"/>
      <c r="H39" s="6"/>
      <c r="I39" s="6"/>
      <c r="J39" s="6"/>
      <c r="K39" s="6"/>
      <c r="L39" s="6"/>
      <c r="M39" s="15">
        <v>18</v>
      </c>
      <c r="N39" s="6"/>
      <c r="O39" s="6"/>
      <c r="P39" s="6"/>
      <c r="Q39" s="6"/>
      <c r="R39" s="6"/>
      <c r="S39" s="6"/>
      <c r="T39" s="16"/>
      <c r="U39" s="17"/>
      <c r="V39" s="17"/>
      <c r="W39" s="17"/>
      <c r="X39" s="18"/>
      <c r="Y39" s="21"/>
      <c r="Z39" s="6"/>
      <c r="AA39" s="6"/>
    </row>
    <row r="40" spans="1:27" x14ac:dyDescent="0.3">
      <c r="A40" s="3" t="s">
        <v>389</v>
      </c>
      <c r="B40" s="7" t="s">
        <v>394</v>
      </c>
      <c r="C40" s="7" t="s">
        <v>394</v>
      </c>
      <c r="D40" s="7"/>
      <c r="E40" s="7"/>
      <c r="F40" s="7"/>
      <c r="G40" s="7"/>
      <c r="H40" s="7"/>
      <c r="I40" s="7"/>
      <c r="J40" s="7"/>
      <c r="K40" s="7"/>
      <c r="L40" s="7"/>
      <c r="M40" s="7">
        <v>19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3">
      <c r="A41" s="2" t="s">
        <v>390</v>
      </c>
      <c r="B41" s="6">
        <v>18</v>
      </c>
      <c r="C41" s="6">
        <v>18</v>
      </c>
      <c r="D41" s="6"/>
      <c r="E41" s="6"/>
      <c r="F41" s="6"/>
      <c r="G41" s="6"/>
      <c r="H41" s="6"/>
      <c r="I41" s="6"/>
      <c r="J41" s="6"/>
      <c r="K41" s="6"/>
      <c r="L41" s="6"/>
      <c r="M41" s="15"/>
      <c r="N41" s="6"/>
      <c r="O41" s="6"/>
      <c r="P41" s="6"/>
      <c r="Q41" s="6"/>
      <c r="R41" s="6"/>
      <c r="S41" s="6">
        <v>18</v>
      </c>
      <c r="T41" s="16">
        <v>18</v>
      </c>
      <c r="U41" s="17"/>
      <c r="V41" s="17"/>
      <c r="W41" s="17"/>
      <c r="X41" s="18"/>
      <c r="Y41" s="21"/>
      <c r="Z41" s="6"/>
      <c r="AA41" s="6"/>
    </row>
    <row r="42" spans="1:27" x14ac:dyDescent="0.3">
      <c r="A42" s="3" t="s">
        <v>2</v>
      </c>
      <c r="B42" s="7">
        <v>4</v>
      </c>
      <c r="C42" s="7">
        <v>4</v>
      </c>
      <c r="D42" s="7"/>
      <c r="E42" s="7"/>
      <c r="F42" s="7"/>
      <c r="G42" s="7"/>
      <c r="H42" s="7"/>
      <c r="I42" s="7"/>
      <c r="J42" s="7"/>
      <c r="K42" s="7"/>
      <c r="L42" s="7"/>
      <c r="M42" s="7">
        <v>4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3">
      <c r="A43" s="2" t="s">
        <v>101</v>
      </c>
      <c r="B43" s="6">
        <v>79</v>
      </c>
      <c r="C43" s="6">
        <v>79</v>
      </c>
      <c r="D43" s="6"/>
      <c r="E43" s="6"/>
      <c r="F43" s="6"/>
      <c r="G43" s="6"/>
      <c r="H43" s="6"/>
      <c r="I43" s="6"/>
      <c r="J43" s="6"/>
      <c r="K43" s="6"/>
      <c r="L43" s="6"/>
      <c r="M43" s="15">
        <v>79</v>
      </c>
      <c r="N43" s="6"/>
      <c r="O43" s="6">
        <v>200</v>
      </c>
      <c r="P43" s="6"/>
      <c r="Q43" s="6"/>
      <c r="R43" s="6"/>
      <c r="S43" s="6"/>
      <c r="T43" s="16">
        <v>200</v>
      </c>
      <c r="U43" s="17"/>
      <c r="V43" s="17"/>
      <c r="W43" s="17"/>
      <c r="X43" s="18"/>
      <c r="Y43" s="21"/>
      <c r="Z43" s="6"/>
      <c r="AA43" s="6"/>
    </row>
    <row r="44" spans="1:27" x14ac:dyDescent="0.3">
      <c r="A44" s="3" t="s">
        <v>102</v>
      </c>
      <c r="B44" s="7">
        <v>89</v>
      </c>
      <c r="C44" s="7">
        <v>89</v>
      </c>
      <c r="D44" s="7"/>
      <c r="E44" s="7"/>
      <c r="F44" s="7"/>
      <c r="G44" s="7"/>
      <c r="H44" s="7"/>
      <c r="I44" s="7"/>
      <c r="J44" s="7"/>
      <c r="K44" s="7"/>
      <c r="L44" s="7"/>
      <c r="M44" s="7">
        <v>80</v>
      </c>
      <c r="N44" s="7"/>
      <c r="O44" s="7">
        <v>220</v>
      </c>
      <c r="P44" s="7"/>
      <c r="Q44" s="7"/>
      <c r="R44" s="7"/>
      <c r="S44" s="7"/>
      <c r="T44" s="7"/>
      <c r="U44" s="7"/>
      <c r="V44" s="7"/>
      <c r="W44" s="7">
        <v>200</v>
      </c>
      <c r="X44" s="7"/>
      <c r="Y44" s="7"/>
      <c r="Z44" s="7"/>
      <c r="AA44" s="7"/>
    </row>
    <row r="45" spans="1:27" x14ac:dyDescent="0.3">
      <c r="A45" s="2" t="s">
        <v>391</v>
      </c>
      <c r="B45" s="6">
        <v>5</v>
      </c>
      <c r="C45" s="6">
        <v>5</v>
      </c>
      <c r="D45" s="6"/>
      <c r="E45" s="6"/>
      <c r="F45" s="6"/>
      <c r="G45" s="6"/>
      <c r="H45" s="6"/>
      <c r="I45" s="6"/>
      <c r="J45" s="6"/>
      <c r="K45" s="6"/>
      <c r="L45" s="6"/>
      <c r="M45" s="15">
        <v>5</v>
      </c>
      <c r="N45" s="6"/>
      <c r="O45" s="6"/>
      <c r="P45" s="6"/>
      <c r="Q45" s="6"/>
      <c r="R45" s="6"/>
      <c r="S45" s="6"/>
      <c r="T45" s="16"/>
      <c r="U45" s="17"/>
      <c r="V45" s="17"/>
      <c r="W45" s="17"/>
      <c r="X45" s="18"/>
      <c r="Y45" s="21"/>
      <c r="Z45" s="6"/>
      <c r="AA45" s="6"/>
    </row>
    <row r="46" spans="1:27" x14ac:dyDescent="0.3">
      <c r="A46" s="3" t="s">
        <v>211</v>
      </c>
      <c r="B46" s="7">
        <v>6</v>
      </c>
      <c r="C46" s="7">
        <v>6</v>
      </c>
      <c r="D46" s="7"/>
      <c r="E46" s="7"/>
      <c r="F46" s="7"/>
      <c r="G46" s="7"/>
      <c r="H46" s="7"/>
      <c r="I46" s="7"/>
      <c r="J46" s="7"/>
      <c r="K46" s="7"/>
      <c r="L46" s="7"/>
      <c r="M46" s="7">
        <v>6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x14ac:dyDescent="0.3">
      <c r="A47" s="2" t="s">
        <v>21</v>
      </c>
      <c r="B47" s="6">
        <v>59</v>
      </c>
      <c r="C47" s="6">
        <v>59</v>
      </c>
      <c r="D47" s="6"/>
      <c r="E47" s="6"/>
      <c r="F47" s="6"/>
      <c r="G47" s="6"/>
      <c r="H47" s="6"/>
      <c r="I47" s="6"/>
      <c r="J47" s="6"/>
      <c r="K47" s="6"/>
      <c r="L47" s="6"/>
      <c r="M47" s="15">
        <v>59</v>
      </c>
      <c r="N47" s="6"/>
      <c r="O47" s="6"/>
      <c r="P47" s="6"/>
      <c r="Q47" s="6"/>
      <c r="R47" s="6"/>
      <c r="S47" s="6"/>
      <c r="T47" s="16"/>
      <c r="U47" s="17"/>
      <c r="V47" s="17"/>
      <c r="W47" s="17"/>
      <c r="X47" s="18"/>
      <c r="Y47" s="21"/>
      <c r="Z47" s="6"/>
      <c r="AA47" s="6"/>
    </row>
    <row r="48" spans="1:27" x14ac:dyDescent="0.3">
      <c r="A48" s="3" t="s">
        <v>5</v>
      </c>
      <c r="B48" s="7">
        <v>14</v>
      </c>
      <c r="C48" s="7">
        <v>14</v>
      </c>
      <c r="D48" s="7"/>
      <c r="E48" s="7"/>
      <c r="F48" s="7"/>
      <c r="G48" s="7" t="s">
        <v>203</v>
      </c>
      <c r="H48" s="7"/>
      <c r="I48" s="7"/>
      <c r="J48" s="7"/>
      <c r="K48" s="7" t="s">
        <v>205</v>
      </c>
      <c r="L48" s="7">
        <v>14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3">
      <c r="A49" s="2" t="s">
        <v>6</v>
      </c>
      <c r="B49" s="6">
        <v>15</v>
      </c>
      <c r="C49" s="6">
        <v>15</v>
      </c>
      <c r="D49" s="6"/>
      <c r="E49" s="6"/>
      <c r="F49" s="6"/>
      <c r="G49" s="6" t="s">
        <v>204</v>
      </c>
      <c r="H49" s="6"/>
      <c r="I49" s="6"/>
      <c r="J49" s="6"/>
      <c r="K49" s="6" t="s">
        <v>206</v>
      </c>
      <c r="L49" s="6">
        <v>15</v>
      </c>
      <c r="M49" s="15"/>
      <c r="N49" s="6"/>
      <c r="O49" s="6"/>
      <c r="P49" s="6"/>
      <c r="Q49" s="6"/>
      <c r="R49" s="6"/>
      <c r="S49" s="6"/>
      <c r="T49" s="16"/>
      <c r="U49" s="17"/>
      <c r="V49" s="17"/>
      <c r="W49" s="17"/>
      <c r="X49" s="18"/>
      <c r="Y49" s="21"/>
      <c r="Z49" s="6"/>
      <c r="AA49" s="6"/>
    </row>
    <row r="50" spans="1:27" x14ac:dyDescent="0.3">
      <c r="A50" s="3" t="s">
        <v>65</v>
      </c>
      <c r="B50" s="7">
        <v>54</v>
      </c>
      <c r="C50" s="7">
        <v>54</v>
      </c>
      <c r="D50" s="7">
        <v>54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3">
      <c r="A51" s="2" t="s">
        <v>359</v>
      </c>
      <c r="B51" s="6">
        <v>77</v>
      </c>
      <c r="C51" s="6">
        <v>77</v>
      </c>
      <c r="D51" s="6"/>
      <c r="E51" s="6"/>
      <c r="F51" s="6"/>
      <c r="G51" s="6"/>
      <c r="H51" s="6"/>
      <c r="I51" s="6"/>
      <c r="J51" s="6"/>
      <c r="K51" s="6"/>
      <c r="L51" s="6"/>
      <c r="M51" s="15"/>
      <c r="N51" s="6"/>
      <c r="O51" s="6"/>
      <c r="P51" s="6"/>
      <c r="Q51" s="6"/>
      <c r="R51" s="6"/>
      <c r="S51" s="6">
        <v>40</v>
      </c>
      <c r="T51" s="16">
        <v>40</v>
      </c>
      <c r="U51" s="17"/>
      <c r="V51" s="17"/>
      <c r="W51" s="17"/>
      <c r="X51" s="18"/>
      <c r="Y51" s="21"/>
      <c r="Z51" s="6"/>
      <c r="AA51" s="6"/>
    </row>
    <row r="52" spans="1:27" x14ac:dyDescent="0.3">
      <c r="A52" s="3" t="s">
        <v>360</v>
      </c>
      <c r="B52" s="7">
        <v>95</v>
      </c>
      <c r="C52" s="7">
        <v>95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3">
      <c r="A53" s="2" t="s">
        <v>174</v>
      </c>
      <c r="B53" s="6">
        <v>96</v>
      </c>
      <c r="C53" s="6">
        <v>96</v>
      </c>
      <c r="D53" s="6"/>
      <c r="E53" s="6"/>
      <c r="F53" s="6"/>
      <c r="G53" s="6"/>
      <c r="H53" s="6"/>
      <c r="I53" s="6"/>
      <c r="J53" s="6"/>
      <c r="K53" s="6"/>
      <c r="L53" s="6"/>
      <c r="M53" s="15"/>
      <c r="N53" s="6"/>
      <c r="O53" s="6"/>
      <c r="P53" s="6"/>
      <c r="Q53" s="6"/>
      <c r="R53" s="6"/>
      <c r="S53" s="6">
        <v>30</v>
      </c>
      <c r="T53" s="16">
        <v>30</v>
      </c>
      <c r="U53" s="17"/>
      <c r="V53" s="17"/>
      <c r="W53" s="17"/>
      <c r="X53" s="18"/>
      <c r="Y53" s="21"/>
      <c r="Z53" s="6"/>
      <c r="AA53" s="6"/>
    </row>
    <row r="54" spans="1:27" x14ac:dyDescent="0.3">
      <c r="A54" s="3" t="s">
        <v>175</v>
      </c>
      <c r="B54" s="7">
        <v>97</v>
      </c>
      <c r="C54" s="7">
        <v>97</v>
      </c>
      <c r="D54" s="7"/>
      <c r="E54" s="7"/>
      <c r="F54" s="7"/>
      <c r="G54" s="7"/>
      <c r="H54" s="7"/>
      <c r="I54" s="7"/>
      <c r="J54" s="7"/>
      <c r="K54" s="7"/>
      <c r="L54" s="7"/>
      <c r="M54" s="7">
        <v>103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3">
      <c r="A55" s="2" t="s">
        <v>347</v>
      </c>
      <c r="B55" s="6">
        <v>70</v>
      </c>
      <c r="C55" s="6">
        <v>70</v>
      </c>
      <c r="D55" s="6"/>
      <c r="E55" s="6"/>
      <c r="F55" s="6"/>
      <c r="G55" s="6"/>
      <c r="H55" s="6"/>
      <c r="I55" s="6"/>
      <c r="J55" s="6"/>
      <c r="K55" s="6"/>
      <c r="L55" s="6"/>
      <c r="M55" s="15"/>
      <c r="N55" s="6"/>
      <c r="O55" s="6"/>
      <c r="P55" s="6"/>
      <c r="Q55" s="6"/>
      <c r="R55" s="6"/>
      <c r="S55" s="6">
        <v>20</v>
      </c>
      <c r="T55" s="16">
        <v>20</v>
      </c>
      <c r="U55" s="17"/>
      <c r="V55" s="17"/>
      <c r="W55" s="17"/>
      <c r="X55" s="18"/>
      <c r="Y55" s="21"/>
      <c r="Z55" s="6"/>
      <c r="AA55" s="6"/>
    </row>
    <row r="56" spans="1:27" x14ac:dyDescent="0.3">
      <c r="A56" s="3" t="s">
        <v>348</v>
      </c>
      <c r="B56" s="7">
        <v>71</v>
      </c>
      <c r="C56" s="7">
        <v>71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>
        <v>10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x14ac:dyDescent="0.3">
      <c r="A57" s="2" t="s">
        <v>349</v>
      </c>
      <c r="B57" s="6">
        <v>72</v>
      </c>
      <c r="C57" s="6">
        <v>72</v>
      </c>
      <c r="D57" s="6"/>
      <c r="E57" s="6"/>
      <c r="F57" s="6"/>
      <c r="G57" s="6"/>
      <c r="H57" s="6"/>
      <c r="I57" s="6"/>
      <c r="J57" s="6"/>
      <c r="K57" s="6"/>
      <c r="L57" s="6"/>
      <c r="M57" s="15"/>
      <c r="N57" s="6"/>
      <c r="O57" s="6"/>
      <c r="P57" s="6">
        <v>10</v>
      </c>
      <c r="Q57" s="6"/>
      <c r="R57" s="6"/>
      <c r="S57" s="6"/>
      <c r="T57" s="16"/>
      <c r="U57" s="17"/>
      <c r="V57" s="17"/>
      <c r="W57" s="17"/>
      <c r="X57" s="18"/>
      <c r="Y57" s="21"/>
      <c r="Z57" s="6"/>
      <c r="AA57" s="6"/>
    </row>
    <row r="58" spans="1:27" x14ac:dyDescent="0.3">
      <c r="A58" s="3" t="s">
        <v>350</v>
      </c>
      <c r="B58" s="7">
        <v>73</v>
      </c>
      <c r="C58" s="7">
        <v>73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v>10</v>
      </c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3">
      <c r="A59" s="2" t="s">
        <v>351</v>
      </c>
      <c r="B59" s="6">
        <v>74</v>
      </c>
      <c r="C59" s="6">
        <v>74</v>
      </c>
      <c r="D59" s="6"/>
      <c r="E59" s="6"/>
      <c r="F59" s="6"/>
      <c r="G59" s="6"/>
      <c r="H59" s="6"/>
      <c r="I59" s="6"/>
      <c r="J59" s="6"/>
      <c r="K59" s="6"/>
      <c r="L59" s="6"/>
      <c r="M59" s="15"/>
      <c r="N59" s="6"/>
      <c r="O59" s="6"/>
      <c r="P59" s="6"/>
      <c r="Q59" s="6"/>
      <c r="R59" s="6">
        <v>10</v>
      </c>
      <c r="S59" s="6">
        <v>60</v>
      </c>
      <c r="T59" s="16"/>
      <c r="U59" s="17"/>
      <c r="V59" s="17"/>
      <c r="W59" s="17"/>
      <c r="X59" s="18"/>
      <c r="Y59" s="21"/>
      <c r="Z59" s="6"/>
      <c r="AA59" s="6"/>
    </row>
    <row r="60" spans="1:27" x14ac:dyDescent="0.3">
      <c r="A60" s="3" t="s">
        <v>352</v>
      </c>
      <c r="B60" s="7">
        <v>75</v>
      </c>
      <c r="C60" s="7">
        <v>75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3">
      <c r="A61" s="2" t="s">
        <v>353</v>
      </c>
      <c r="B61" s="6">
        <v>76</v>
      </c>
      <c r="C61" s="6">
        <v>76</v>
      </c>
      <c r="D61" s="6"/>
      <c r="E61" s="6"/>
      <c r="F61" s="6"/>
      <c r="G61" s="6"/>
      <c r="H61" s="6"/>
      <c r="I61" s="6"/>
      <c r="J61" s="6"/>
      <c r="K61" s="6"/>
      <c r="L61" s="6"/>
      <c r="M61" s="15"/>
      <c r="N61" s="6"/>
      <c r="O61" s="6"/>
      <c r="P61" s="6"/>
      <c r="Q61" s="6"/>
      <c r="R61" s="6"/>
      <c r="S61" s="6"/>
      <c r="T61" s="16"/>
      <c r="U61" s="17"/>
      <c r="V61" s="17"/>
      <c r="W61" s="17"/>
      <c r="X61" s="18"/>
      <c r="Y61" s="21"/>
      <c r="Z61" s="6"/>
      <c r="AA61" s="6"/>
    </row>
    <row r="62" spans="1:27" x14ac:dyDescent="0.3">
      <c r="A62" s="3" t="s">
        <v>176</v>
      </c>
      <c r="B62" s="7">
        <v>78</v>
      </c>
      <c r="C62" s="7">
        <v>78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>
        <v>50</v>
      </c>
      <c r="T62" s="7"/>
      <c r="U62" s="7"/>
      <c r="V62" s="7"/>
      <c r="W62" s="7"/>
      <c r="X62" s="7"/>
      <c r="Y62" s="7"/>
      <c r="Z62" s="7"/>
      <c r="AA62" s="7"/>
    </row>
    <row r="63" spans="1:27" x14ac:dyDescent="0.3">
      <c r="A63" s="2" t="s">
        <v>354</v>
      </c>
      <c r="B63" s="6">
        <v>80</v>
      </c>
      <c r="C63" s="6">
        <v>80</v>
      </c>
      <c r="D63" s="6"/>
      <c r="E63" s="6"/>
      <c r="F63" s="6"/>
      <c r="G63" s="6"/>
      <c r="H63" s="6"/>
      <c r="I63" s="6"/>
      <c r="J63" s="6"/>
      <c r="K63" s="6"/>
      <c r="L63" s="6"/>
      <c r="M63" s="15"/>
      <c r="N63" s="6"/>
      <c r="O63" s="6"/>
      <c r="P63" s="6"/>
      <c r="Q63" s="6"/>
      <c r="R63" s="6"/>
      <c r="S63" s="6"/>
      <c r="T63" s="16"/>
      <c r="U63" s="17"/>
      <c r="V63" s="17"/>
      <c r="W63" s="17"/>
      <c r="X63" s="18"/>
      <c r="Y63" s="21"/>
      <c r="Z63" s="6"/>
      <c r="AA63" s="6"/>
    </row>
    <row r="64" spans="1:27" x14ac:dyDescent="0.3">
      <c r="A64" s="3" t="s">
        <v>82</v>
      </c>
      <c r="B64" s="7">
        <v>81</v>
      </c>
      <c r="C64" s="7">
        <v>81</v>
      </c>
      <c r="D64" s="7"/>
      <c r="E64" s="7"/>
      <c r="F64" s="7"/>
      <c r="G64" s="7"/>
      <c r="H64" s="7"/>
      <c r="I64" s="7"/>
      <c r="J64" s="7"/>
      <c r="K64" s="7"/>
      <c r="L64" s="7"/>
      <c r="M64" s="7">
        <v>100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3">
      <c r="A65" s="2" t="s">
        <v>83</v>
      </c>
      <c r="B65" s="6">
        <v>82</v>
      </c>
      <c r="C65" s="6">
        <v>82</v>
      </c>
      <c r="D65" s="6"/>
      <c r="E65" s="6"/>
      <c r="F65" s="6"/>
      <c r="G65" s="6"/>
      <c r="H65" s="6"/>
      <c r="I65" s="6"/>
      <c r="J65" s="6"/>
      <c r="K65" s="6"/>
      <c r="L65" s="6"/>
      <c r="M65" s="15">
        <v>200</v>
      </c>
      <c r="N65" s="6"/>
      <c r="O65" s="6"/>
      <c r="P65" s="6"/>
      <c r="Q65" s="6"/>
      <c r="R65" s="6"/>
      <c r="S65" s="6"/>
      <c r="T65" s="16"/>
      <c r="U65" s="17"/>
      <c r="V65" s="17"/>
      <c r="W65" s="17"/>
      <c r="X65" s="18"/>
      <c r="Y65" s="21"/>
      <c r="Z65" s="6"/>
      <c r="AA65" s="6"/>
    </row>
    <row r="66" spans="1:27" x14ac:dyDescent="0.3">
      <c r="A66" s="3" t="s">
        <v>84</v>
      </c>
      <c r="B66" s="7">
        <v>83</v>
      </c>
      <c r="C66" s="7">
        <v>83</v>
      </c>
      <c r="D66" s="7"/>
      <c r="E66" s="7"/>
      <c r="F66" s="7"/>
      <c r="G66" s="7"/>
      <c r="H66" s="7"/>
      <c r="I66" s="7"/>
      <c r="J66" s="7"/>
      <c r="K66" s="7"/>
      <c r="L66" s="7">
        <v>102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3">
      <c r="A67" s="2" t="s">
        <v>85</v>
      </c>
      <c r="B67" s="6">
        <v>84</v>
      </c>
      <c r="C67" s="6">
        <v>84</v>
      </c>
      <c r="D67" s="6"/>
      <c r="E67" s="6"/>
      <c r="F67" s="6"/>
      <c r="G67" s="6"/>
      <c r="H67" s="6"/>
      <c r="I67" s="6"/>
      <c r="J67" s="6"/>
      <c r="K67" s="6"/>
      <c r="L67" s="6"/>
      <c r="M67" s="15"/>
      <c r="N67" s="6"/>
      <c r="O67" s="6"/>
      <c r="P67" s="6"/>
      <c r="Q67" s="6"/>
      <c r="R67" s="6"/>
      <c r="S67" s="6">
        <v>10</v>
      </c>
      <c r="T67" s="16">
        <v>10</v>
      </c>
      <c r="U67" s="17"/>
      <c r="V67" s="17"/>
      <c r="W67" s="17"/>
      <c r="X67" s="18"/>
      <c r="Y67" s="21">
        <v>20</v>
      </c>
      <c r="Z67" s="6"/>
      <c r="AA67" s="6"/>
    </row>
    <row r="68" spans="1:27" x14ac:dyDescent="0.3">
      <c r="A68" s="3" t="s">
        <v>398</v>
      </c>
      <c r="B68" s="7">
        <v>85</v>
      </c>
      <c r="C68" s="7">
        <v>85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>
        <v>11</v>
      </c>
      <c r="T68" s="7"/>
      <c r="U68" s="7"/>
      <c r="V68" s="7"/>
      <c r="W68" s="7"/>
      <c r="X68" s="7"/>
      <c r="Y68" s="7"/>
      <c r="Z68" s="7"/>
      <c r="AA68" s="7"/>
    </row>
    <row r="69" spans="1:27" x14ac:dyDescent="0.3">
      <c r="A69" s="2" t="s">
        <v>149</v>
      </c>
      <c r="B69" s="6">
        <v>98</v>
      </c>
      <c r="C69" s="6">
        <v>98</v>
      </c>
      <c r="D69" s="6"/>
      <c r="E69" s="6"/>
      <c r="F69" s="6"/>
      <c r="G69" s="6"/>
      <c r="H69" s="6"/>
      <c r="I69" s="6"/>
      <c r="J69" s="6"/>
      <c r="K69" s="6"/>
      <c r="L69" s="6"/>
      <c r="M69" s="15"/>
      <c r="N69" s="6">
        <v>100</v>
      </c>
      <c r="O69" s="6"/>
      <c r="P69" s="6"/>
      <c r="Q69" s="6"/>
      <c r="R69" s="6"/>
      <c r="S69" s="6"/>
      <c r="T69" s="16"/>
      <c r="U69" s="17"/>
      <c r="V69" s="17"/>
      <c r="W69" s="17"/>
      <c r="X69" s="18"/>
      <c r="Y69" s="21"/>
      <c r="Z69" s="6"/>
      <c r="AA69" s="6"/>
    </row>
    <row r="70" spans="1:27" x14ac:dyDescent="0.3">
      <c r="A70" s="3" t="s">
        <v>150</v>
      </c>
      <c r="B70" s="7">
        <v>99</v>
      </c>
      <c r="C70" s="7">
        <v>99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>
        <v>110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3">
      <c r="A71" s="2" t="s">
        <v>210</v>
      </c>
      <c r="B71" s="6">
        <v>110</v>
      </c>
      <c r="C71" s="6">
        <v>110</v>
      </c>
      <c r="D71" s="6"/>
      <c r="E71" s="6"/>
      <c r="F71" s="6"/>
      <c r="G71" s="6"/>
      <c r="H71" s="6"/>
      <c r="I71" s="6"/>
      <c r="J71" s="6"/>
      <c r="K71" s="6"/>
      <c r="L71" s="6"/>
      <c r="M71" s="15">
        <v>110</v>
      </c>
      <c r="N71" s="6"/>
      <c r="O71" s="6"/>
      <c r="P71" s="6"/>
      <c r="Q71" s="6"/>
      <c r="R71" s="6"/>
      <c r="S71" s="6"/>
      <c r="T71" s="16"/>
      <c r="U71" s="17"/>
      <c r="V71" s="17"/>
      <c r="W71" s="17"/>
      <c r="X71" s="18"/>
      <c r="Y71" s="21"/>
      <c r="Z71" s="6"/>
      <c r="AA71" s="6"/>
    </row>
    <row r="72" spans="1:27" x14ac:dyDescent="0.3">
      <c r="A72" s="3" t="s">
        <v>404</v>
      </c>
      <c r="B72" s="7">
        <v>101</v>
      </c>
      <c r="C72" s="7">
        <v>101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>
        <v>2</v>
      </c>
      <c r="T72" s="7"/>
      <c r="U72" s="7"/>
      <c r="V72" s="7"/>
      <c r="W72" s="7"/>
      <c r="X72" s="7"/>
      <c r="Y72" s="7"/>
      <c r="Z72" s="7"/>
      <c r="AA72" s="7"/>
    </row>
    <row r="73" spans="1:27" x14ac:dyDescent="0.3">
      <c r="A73" s="2" t="s">
        <v>409</v>
      </c>
      <c r="B73" s="6">
        <v>102</v>
      </c>
      <c r="C73" s="6">
        <v>102</v>
      </c>
      <c r="D73" s="6">
        <v>102</v>
      </c>
      <c r="E73" s="6"/>
      <c r="F73" s="6"/>
      <c r="G73" s="6"/>
      <c r="H73" s="6"/>
      <c r="I73" s="6"/>
      <c r="J73" s="6"/>
      <c r="K73" s="6"/>
      <c r="L73" s="6"/>
      <c r="M73" s="15"/>
      <c r="N73" s="6"/>
      <c r="O73" s="6"/>
      <c r="P73" s="6"/>
      <c r="Q73" s="6"/>
      <c r="R73" s="6"/>
      <c r="S73" s="6">
        <v>3</v>
      </c>
      <c r="T73" s="16"/>
      <c r="U73" s="17"/>
      <c r="V73" s="17"/>
      <c r="W73" s="17"/>
      <c r="X73" s="18"/>
      <c r="Y73" s="21"/>
      <c r="Z73" s="6"/>
      <c r="AA73" s="6"/>
    </row>
    <row r="74" spans="1:27" x14ac:dyDescent="0.3">
      <c r="A74" s="3"/>
      <c r="B74" s="7">
        <v>103</v>
      </c>
      <c r="C74" s="7">
        <v>103</v>
      </c>
      <c r="D74" s="7">
        <v>103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x14ac:dyDescent="0.3">
      <c r="B75" s="6">
        <v>104</v>
      </c>
      <c r="C75" s="6">
        <v>104</v>
      </c>
      <c r="D75" s="6">
        <v>104</v>
      </c>
      <c r="E75" s="6"/>
      <c r="F75" s="6"/>
      <c r="G75" s="6"/>
      <c r="H75" s="6"/>
      <c r="I75" s="6"/>
      <c r="J75" s="6"/>
      <c r="K75" s="6"/>
      <c r="L75" s="6"/>
      <c r="M75" s="15"/>
      <c r="N75" s="6"/>
      <c r="O75" s="6"/>
      <c r="P75" s="6"/>
      <c r="Q75" s="6"/>
      <c r="R75" s="6"/>
      <c r="S75" s="6"/>
      <c r="T75" s="16"/>
      <c r="U75" s="17"/>
      <c r="V75" s="17"/>
      <c r="W75" s="17"/>
      <c r="X75" s="18"/>
      <c r="Y75" s="21"/>
      <c r="Z75" s="6"/>
      <c r="AA75" s="6"/>
    </row>
    <row r="76" spans="1:27" x14ac:dyDescent="0.3">
      <c r="A76" s="3"/>
      <c r="B76" s="7">
        <v>105</v>
      </c>
      <c r="C76" s="7">
        <v>105</v>
      </c>
      <c r="D76" s="7">
        <v>105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3">
      <c r="B77" s="6">
        <v>106</v>
      </c>
      <c r="C77" s="6">
        <v>106</v>
      </c>
      <c r="D77" s="6">
        <v>106</v>
      </c>
      <c r="E77" s="6"/>
      <c r="F77" s="6"/>
      <c r="G77" s="6"/>
      <c r="H77" s="6"/>
      <c r="I77" s="6"/>
      <c r="J77" s="6"/>
      <c r="K77" s="6"/>
      <c r="L77" s="6"/>
      <c r="M77" s="15"/>
      <c r="N77" s="6"/>
      <c r="O77" s="6"/>
      <c r="P77" s="6"/>
      <c r="Q77" s="6"/>
      <c r="R77" s="6"/>
      <c r="S77" s="6"/>
      <c r="T77" s="16"/>
      <c r="U77" s="17"/>
      <c r="V77" s="17"/>
      <c r="W77" s="17"/>
      <c r="X77" s="18"/>
      <c r="Y77" s="21"/>
      <c r="Z77" s="6"/>
      <c r="AA77" s="6"/>
    </row>
    <row r="78" spans="1:27" x14ac:dyDescent="0.3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</sheetData>
  <autoFilter ref="A3:AA78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workbookViewId="0">
      <selection activeCell="A14" sqref="A14"/>
    </sheetView>
  </sheetViews>
  <sheetFormatPr defaultRowHeight="14.4" x14ac:dyDescent="0.3"/>
  <cols>
    <col min="1" max="1" width="24.21875" customWidth="1"/>
    <col min="2" max="2" width="11.77734375" bestFit="1" customWidth="1"/>
    <col min="3" max="3" width="9.6640625" bestFit="1" customWidth="1"/>
  </cols>
  <sheetData>
    <row r="2" spans="1:5" x14ac:dyDescent="0.3">
      <c r="A2" s="22" t="s">
        <v>224</v>
      </c>
      <c r="B2" t="s">
        <v>69</v>
      </c>
      <c r="C2" t="s">
        <v>162</v>
      </c>
      <c r="E2" t="s">
        <v>214</v>
      </c>
    </row>
    <row r="3" spans="1:5" x14ac:dyDescent="0.3">
      <c r="A3" t="s">
        <v>225</v>
      </c>
      <c r="B3" t="s">
        <v>68</v>
      </c>
      <c r="C3" t="s">
        <v>166</v>
      </c>
      <c r="E3" t="s">
        <v>216</v>
      </c>
    </row>
    <row r="4" spans="1:5" x14ac:dyDescent="0.3">
      <c r="A4" t="s">
        <v>226</v>
      </c>
      <c r="B4" t="s">
        <v>67</v>
      </c>
      <c r="C4" t="s">
        <v>163</v>
      </c>
      <c r="E4" t="s">
        <v>215</v>
      </c>
    </row>
    <row r="5" spans="1:5" x14ac:dyDescent="0.3">
      <c r="A5" t="s">
        <v>227</v>
      </c>
      <c r="B5" t="s">
        <v>169</v>
      </c>
      <c r="C5" t="s">
        <v>167</v>
      </c>
      <c r="E5" t="s">
        <v>217</v>
      </c>
    </row>
    <row r="6" spans="1:5" x14ac:dyDescent="0.3">
      <c r="A6" t="s">
        <v>230</v>
      </c>
      <c r="B6" t="s">
        <v>170</v>
      </c>
      <c r="C6" t="s">
        <v>164</v>
      </c>
      <c r="E6" t="s">
        <v>218</v>
      </c>
    </row>
    <row r="7" spans="1:5" x14ac:dyDescent="0.3">
      <c r="A7" t="s">
        <v>228</v>
      </c>
      <c r="B7" t="s">
        <v>209</v>
      </c>
      <c r="C7" t="s">
        <v>165</v>
      </c>
      <c r="E7" t="s">
        <v>219</v>
      </c>
    </row>
    <row r="8" spans="1:5" x14ac:dyDescent="0.3">
      <c r="A8" t="s">
        <v>229</v>
      </c>
      <c r="B8" t="s">
        <v>66</v>
      </c>
      <c r="E8" t="s">
        <v>221</v>
      </c>
    </row>
    <row r="9" spans="1:5" x14ac:dyDescent="0.3">
      <c r="A9" s="23"/>
      <c r="B9" t="s">
        <v>223</v>
      </c>
      <c r="E9" t="s">
        <v>220</v>
      </c>
    </row>
    <row r="10" spans="1:5" x14ac:dyDescent="0.3">
      <c r="A10" s="23" t="s">
        <v>222</v>
      </c>
      <c r="B10" t="s">
        <v>395</v>
      </c>
      <c r="E10" t="s">
        <v>396</v>
      </c>
    </row>
    <row r="11" spans="1:5" x14ac:dyDescent="0.3">
      <c r="B11" t="s">
        <v>99</v>
      </c>
    </row>
    <row r="12" spans="1:5" x14ac:dyDescent="0.3">
      <c r="B12" t="s">
        <v>100</v>
      </c>
    </row>
  </sheetData>
  <sortState ref="A2:C10">
    <sortCondition ref="A2:A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5" sqref="C15"/>
    </sheetView>
  </sheetViews>
  <sheetFormatPr defaultRowHeight="14.4" x14ac:dyDescent="0.3"/>
  <cols>
    <col min="1" max="1" width="12.88671875" bestFit="1" customWidth="1"/>
    <col min="2" max="2" width="15" bestFit="1" customWidth="1"/>
    <col min="3" max="3" width="20.109375" bestFit="1" customWidth="1"/>
    <col min="4" max="4" width="16.6640625" bestFit="1" customWidth="1"/>
  </cols>
  <sheetData>
    <row r="1" spans="1:4" x14ac:dyDescent="0.3">
      <c r="A1" s="20" t="s">
        <v>188</v>
      </c>
      <c r="B1" s="20" t="s">
        <v>182</v>
      </c>
      <c r="C1" s="20" t="s">
        <v>183</v>
      </c>
      <c r="D1" s="20" t="s">
        <v>184</v>
      </c>
    </row>
    <row r="2" spans="1:4" x14ac:dyDescent="0.3">
      <c r="A2" s="19" t="s">
        <v>189</v>
      </c>
      <c r="B2" t="s">
        <v>185</v>
      </c>
      <c r="C2" t="s">
        <v>186</v>
      </c>
      <c r="D2" t="s">
        <v>187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sqref="A1:XFD1"/>
    </sheetView>
  </sheetViews>
  <sheetFormatPr defaultRowHeight="14.4" x14ac:dyDescent="0.3"/>
  <cols>
    <col min="2" max="2" width="10.109375" bestFit="1" customWidth="1"/>
    <col min="3" max="3" width="1.109375" customWidth="1"/>
    <col min="4" max="4" width="19.5546875" bestFit="1" customWidth="1"/>
    <col min="5" max="6" width="10" bestFit="1" customWidth="1"/>
    <col min="9" max="9" width="11.88671875" bestFit="1" customWidth="1"/>
    <col min="10" max="10" width="1.109375" customWidth="1"/>
    <col min="12" max="12" width="10.44140625" bestFit="1" customWidth="1"/>
    <col min="15" max="15" width="11.88671875" bestFit="1" customWidth="1"/>
    <col min="16" max="16" width="1.109375" customWidth="1"/>
    <col min="18" max="18" width="11.44140625" bestFit="1" customWidth="1"/>
  </cols>
  <sheetData>
    <row r="1" spans="1:18" x14ac:dyDescent="0.3">
      <c r="A1" s="32" t="s">
        <v>268</v>
      </c>
      <c r="H1" s="32" t="s">
        <v>297</v>
      </c>
      <c r="N1" s="32" t="s">
        <v>298</v>
      </c>
    </row>
    <row r="2" spans="1:18" x14ac:dyDescent="0.3">
      <c r="A2" s="24"/>
      <c r="B2" s="25" t="s">
        <v>64</v>
      </c>
      <c r="C2" s="28"/>
      <c r="D2" s="40" t="s">
        <v>267</v>
      </c>
      <c r="E2" s="40"/>
      <c r="F2" s="40"/>
      <c r="H2" s="40" t="s">
        <v>267</v>
      </c>
      <c r="I2" s="40"/>
      <c r="J2" s="28"/>
      <c r="K2" s="40" t="s">
        <v>294</v>
      </c>
      <c r="L2" s="40"/>
      <c r="N2" s="40" t="s">
        <v>267</v>
      </c>
      <c r="O2" s="40"/>
      <c r="P2" s="28"/>
      <c r="Q2" s="40" t="s">
        <v>294</v>
      </c>
      <c r="R2" s="40"/>
    </row>
    <row r="3" spans="1:18" x14ac:dyDescent="0.3">
      <c r="A3" s="24"/>
      <c r="B3" s="24"/>
      <c r="C3" s="28"/>
      <c r="D3" s="30" t="s">
        <v>266</v>
      </c>
      <c r="E3" s="30" t="s">
        <v>265</v>
      </c>
      <c r="F3" s="30" t="s">
        <v>293</v>
      </c>
      <c r="H3" s="30" t="s">
        <v>282</v>
      </c>
      <c r="I3" s="30" t="s">
        <v>281</v>
      </c>
      <c r="J3" s="28"/>
      <c r="K3" s="30" t="s">
        <v>295</v>
      </c>
      <c r="L3" s="30" t="s">
        <v>296</v>
      </c>
      <c r="N3" s="30" t="s">
        <v>282</v>
      </c>
      <c r="O3" s="30" t="s">
        <v>281</v>
      </c>
      <c r="P3" s="28"/>
      <c r="Q3" s="30" t="s">
        <v>295</v>
      </c>
      <c r="R3" s="30" t="s">
        <v>296</v>
      </c>
    </row>
    <row r="4" spans="1:18" x14ac:dyDescent="0.3">
      <c r="A4" s="2" t="s">
        <v>262</v>
      </c>
      <c r="B4" t="s">
        <v>261</v>
      </c>
      <c r="C4" s="28"/>
      <c r="D4" t="s">
        <v>261</v>
      </c>
      <c r="E4" t="s">
        <v>261</v>
      </c>
      <c r="F4" t="s">
        <v>261</v>
      </c>
      <c r="H4" t="s">
        <v>262</v>
      </c>
      <c r="I4" t="s">
        <v>263</v>
      </c>
      <c r="J4" s="28"/>
      <c r="K4" t="s">
        <v>269</v>
      </c>
      <c r="L4" t="s">
        <v>152</v>
      </c>
      <c r="N4" t="s">
        <v>262</v>
      </c>
      <c r="O4" t="s">
        <v>263</v>
      </c>
      <c r="P4" s="28"/>
      <c r="Q4" t="s">
        <v>269</v>
      </c>
      <c r="R4" t="s">
        <v>299</v>
      </c>
    </row>
    <row r="5" spans="1:18" x14ac:dyDescent="0.3">
      <c r="A5" s="26" t="s">
        <v>259</v>
      </c>
      <c r="B5" s="27" t="s">
        <v>258</v>
      </c>
      <c r="C5" s="29"/>
      <c r="D5" s="27" t="s">
        <v>258</v>
      </c>
      <c r="E5" s="27" t="s">
        <v>258</v>
      </c>
      <c r="F5" s="27" t="s">
        <v>258</v>
      </c>
      <c r="H5" s="27" t="s">
        <v>259</v>
      </c>
      <c r="I5" s="27" t="s">
        <v>260</v>
      </c>
      <c r="J5" s="29"/>
      <c r="K5" s="27" t="s">
        <v>270</v>
      </c>
      <c r="L5" s="27" t="s">
        <v>89</v>
      </c>
      <c r="N5" s="27" t="s">
        <v>259</v>
      </c>
      <c r="O5" s="27" t="s">
        <v>235</v>
      </c>
      <c r="P5" s="29"/>
      <c r="Q5" s="27" t="s">
        <v>270</v>
      </c>
      <c r="R5" s="27" t="s">
        <v>300</v>
      </c>
    </row>
    <row r="6" spans="1:18" x14ac:dyDescent="0.3">
      <c r="A6" s="2" t="s">
        <v>255</v>
      </c>
      <c r="B6" t="s">
        <v>254</v>
      </c>
      <c r="C6" s="28"/>
      <c r="D6" t="s">
        <v>254</v>
      </c>
      <c r="E6" t="s">
        <v>172</v>
      </c>
      <c r="F6" t="s">
        <v>254</v>
      </c>
      <c r="H6" t="s">
        <v>255</v>
      </c>
      <c r="I6" t="s">
        <v>256</v>
      </c>
      <c r="J6" s="28"/>
      <c r="K6" t="s">
        <v>271</v>
      </c>
      <c r="L6" t="s">
        <v>88</v>
      </c>
    </row>
    <row r="7" spans="1:18" x14ac:dyDescent="0.3">
      <c r="A7" s="26" t="s">
        <v>252</v>
      </c>
      <c r="B7" s="27"/>
      <c r="C7" s="29"/>
      <c r="D7" s="27" t="s">
        <v>235</v>
      </c>
      <c r="E7" s="27" t="s">
        <v>235</v>
      </c>
      <c r="F7" s="27" t="s">
        <v>235</v>
      </c>
      <c r="H7" s="27" t="s">
        <v>252</v>
      </c>
      <c r="I7" s="27" t="s">
        <v>253</v>
      </c>
      <c r="J7" s="29"/>
      <c r="K7" s="27" t="s">
        <v>272</v>
      </c>
      <c r="L7" s="27" t="s">
        <v>87</v>
      </c>
    </row>
    <row r="8" spans="1:18" x14ac:dyDescent="0.3">
      <c r="A8" s="2" t="s">
        <v>250</v>
      </c>
      <c r="C8" s="28"/>
      <c r="D8" t="s">
        <v>246</v>
      </c>
      <c r="E8" t="s">
        <v>201</v>
      </c>
      <c r="F8" t="s">
        <v>247</v>
      </c>
      <c r="H8" t="s">
        <v>250</v>
      </c>
      <c r="I8" t="s">
        <v>251</v>
      </c>
      <c r="J8" s="28"/>
      <c r="K8" t="s">
        <v>273</v>
      </c>
      <c r="L8" t="s">
        <v>86</v>
      </c>
      <c r="N8" s="32" t="s">
        <v>304</v>
      </c>
    </row>
    <row r="9" spans="1:18" x14ac:dyDescent="0.3">
      <c r="A9" s="26" t="s">
        <v>248</v>
      </c>
      <c r="B9" s="27" t="s">
        <v>247</v>
      </c>
      <c r="C9" s="29"/>
      <c r="D9" s="27" t="s">
        <v>246</v>
      </c>
      <c r="E9" s="27" t="s">
        <v>238</v>
      </c>
      <c r="F9" s="27" t="s">
        <v>243</v>
      </c>
      <c r="H9" s="27" t="s">
        <v>248</v>
      </c>
      <c r="I9" s="27" t="s">
        <v>249</v>
      </c>
      <c r="J9" s="29"/>
      <c r="K9" s="27" t="s">
        <v>274</v>
      </c>
      <c r="L9" s="27" t="s">
        <v>93</v>
      </c>
      <c r="N9" s="40" t="s">
        <v>267</v>
      </c>
      <c r="O9" s="40"/>
      <c r="P9" s="28"/>
      <c r="Q9" s="40" t="s">
        <v>294</v>
      </c>
      <c r="R9" s="40"/>
    </row>
    <row r="10" spans="1:18" x14ac:dyDescent="0.3">
      <c r="A10" s="2" t="s">
        <v>244</v>
      </c>
      <c r="B10" t="s">
        <v>243</v>
      </c>
      <c r="C10" s="28"/>
      <c r="H10" t="s">
        <v>244</v>
      </c>
      <c r="I10" t="s">
        <v>245</v>
      </c>
      <c r="J10" s="28"/>
      <c r="K10" t="s">
        <v>275</v>
      </c>
      <c r="L10" t="s">
        <v>124</v>
      </c>
      <c r="N10" s="30" t="s">
        <v>282</v>
      </c>
      <c r="O10" s="30" t="s">
        <v>281</v>
      </c>
      <c r="P10" s="28"/>
      <c r="Q10" s="30" t="s">
        <v>295</v>
      </c>
      <c r="R10" s="30" t="s">
        <v>296</v>
      </c>
    </row>
    <row r="11" spans="1:18" x14ac:dyDescent="0.3">
      <c r="A11" s="26" t="s">
        <v>241</v>
      </c>
      <c r="B11" s="27"/>
      <c r="C11" s="29"/>
      <c r="D11" s="27"/>
      <c r="E11" s="27"/>
      <c r="F11" s="27"/>
      <c r="H11" s="27" t="s">
        <v>241</v>
      </c>
      <c r="I11" s="27" t="s">
        <v>242</v>
      </c>
      <c r="J11" s="29"/>
      <c r="K11" s="27" t="s">
        <v>276</v>
      </c>
      <c r="L11" s="27" t="s">
        <v>125</v>
      </c>
      <c r="N11" t="s">
        <v>262</v>
      </c>
      <c r="O11" t="s">
        <v>301</v>
      </c>
      <c r="P11" s="28"/>
      <c r="Q11" t="s">
        <v>269</v>
      </c>
      <c r="R11" t="s">
        <v>302</v>
      </c>
    </row>
    <row r="12" spans="1:18" x14ac:dyDescent="0.3">
      <c r="A12" s="2" t="s">
        <v>239</v>
      </c>
      <c r="B12" t="s">
        <v>238</v>
      </c>
      <c r="C12" s="28"/>
      <c r="H12" t="s">
        <v>239</v>
      </c>
      <c r="I12" t="s">
        <v>240</v>
      </c>
      <c r="J12" s="28"/>
      <c r="K12" t="s">
        <v>277</v>
      </c>
      <c r="L12" t="s">
        <v>90</v>
      </c>
      <c r="N12" s="27" t="s">
        <v>259</v>
      </c>
      <c r="O12" s="27" t="s">
        <v>235</v>
      </c>
      <c r="P12" s="29"/>
      <c r="Q12" s="27" t="s">
        <v>270</v>
      </c>
      <c r="R12" s="27" t="s">
        <v>303</v>
      </c>
    </row>
    <row r="13" spans="1:18" x14ac:dyDescent="0.3">
      <c r="A13" s="26" t="s">
        <v>236</v>
      </c>
      <c r="B13" s="27" t="s">
        <v>235</v>
      </c>
      <c r="C13" s="29"/>
      <c r="D13" s="27"/>
      <c r="E13" s="27"/>
      <c r="F13" s="27"/>
      <c r="H13" s="27" t="s">
        <v>236</v>
      </c>
      <c r="I13" s="27" t="s">
        <v>237</v>
      </c>
      <c r="J13" s="29"/>
      <c r="K13" s="27" t="s">
        <v>278</v>
      </c>
      <c r="L13" s="27" t="s">
        <v>94</v>
      </c>
    </row>
    <row r="14" spans="1:18" x14ac:dyDescent="0.3">
      <c r="H14" t="s">
        <v>234</v>
      </c>
      <c r="I14" t="s">
        <v>233</v>
      </c>
      <c r="J14" s="29"/>
      <c r="K14" t="s">
        <v>279</v>
      </c>
      <c r="L14" t="s">
        <v>96</v>
      </c>
    </row>
    <row r="15" spans="1:18" x14ac:dyDescent="0.3">
      <c r="H15" s="27" t="s">
        <v>232</v>
      </c>
      <c r="I15" s="27" t="s">
        <v>171</v>
      </c>
      <c r="J15" s="28"/>
      <c r="K15" s="27" t="s">
        <v>280</v>
      </c>
      <c r="L15" s="27" t="s">
        <v>283</v>
      </c>
    </row>
  </sheetData>
  <mergeCells count="7">
    <mergeCell ref="Q2:R2"/>
    <mergeCell ref="N9:O9"/>
    <mergeCell ref="Q9:R9"/>
    <mergeCell ref="D2:F2"/>
    <mergeCell ref="H2:I2"/>
    <mergeCell ref="K2:L2"/>
    <mergeCell ref="N2:O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41"/>
  <sheetViews>
    <sheetView topLeftCell="A10" workbookViewId="0">
      <selection activeCell="E27" sqref="E27"/>
    </sheetView>
  </sheetViews>
  <sheetFormatPr defaultRowHeight="14.4" x14ac:dyDescent="0.3"/>
  <cols>
    <col min="3" max="3" width="27.109375" bestFit="1" customWidth="1"/>
  </cols>
  <sheetData>
    <row r="1" spans="2:14" x14ac:dyDescent="0.3">
      <c r="B1" s="32" t="s">
        <v>306</v>
      </c>
      <c r="H1" s="32"/>
      <c r="N1" s="32"/>
    </row>
    <row r="2" spans="2:14" x14ac:dyDescent="0.3">
      <c r="B2" s="24"/>
      <c r="C2" s="25"/>
    </row>
    <row r="3" spans="2:14" x14ac:dyDescent="0.3">
      <c r="B3" s="31" t="s">
        <v>308</v>
      </c>
      <c r="C3" s="31" t="s">
        <v>307</v>
      </c>
    </row>
    <row r="4" spans="2:14" x14ac:dyDescent="0.3">
      <c r="B4" s="2">
        <v>100</v>
      </c>
      <c r="C4" t="s">
        <v>264</v>
      </c>
    </row>
    <row r="5" spans="2:14" x14ac:dyDescent="0.3">
      <c r="B5" s="2"/>
      <c r="C5" s="27" t="s">
        <v>372</v>
      </c>
    </row>
    <row r="6" spans="2:14" x14ac:dyDescent="0.3">
      <c r="B6" s="2"/>
      <c r="C6" t="s">
        <v>373</v>
      </c>
    </row>
    <row r="7" spans="2:14" x14ac:dyDescent="0.3">
      <c r="B7" s="2"/>
      <c r="C7" s="27" t="s">
        <v>376</v>
      </c>
    </row>
    <row r="8" spans="2:14" x14ac:dyDescent="0.3">
      <c r="B8" s="2"/>
      <c r="C8" t="s">
        <v>378</v>
      </c>
    </row>
    <row r="9" spans="2:14" x14ac:dyDescent="0.3">
      <c r="B9" s="2"/>
      <c r="C9" s="27" t="s">
        <v>377</v>
      </c>
    </row>
    <row r="10" spans="2:14" x14ac:dyDescent="0.3">
      <c r="B10" s="2"/>
      <c r="C10" t="s">
        <v>374</v>
      </c>
    </row>
    <row r="11" spans="2:14" x14ac:dyDescent="0.3">
      <c r="B11" s="35"/>
      <c r="C11" s="35"/>
    </row>
    <row r="12" spans="2:14" x14ac:dyDescent="0.3">
      <c r="B12" s="2">
        <v>200</v>
      </c>
      <c r="C12" t="s">
        <v>305</v>
      </c>
    </row>
    <row r="13" spans="2:14" x14ac:dyDescent="0.3">
      <c r="B13" s="2"/>
      <c r="C13" s="27" t="s">
        <v>375</v>
      </c>
    </row>
    <row r="14" spans="2:14" x14ac:dyDescent="0.3">
      <c r="B14" s="2"/>
      <c r="C14" t="s">
        <v>387</v>
      </c>
    </row>
    <row r="15" spans="2:14" x14ac:dyDescent="0.3">
      <c r="B15" s="2"/>
      <c r="C15" s="27" t="s">
        <v>388</v>
      </c>
    </row>
    <row r="16" spans="2:14" x14ac:dyDescent="0.3">
      <c r="B16" s="2"/>
      <c r="C16" t="s">
        <v>392</v>
      </c>
    </row>
    <row r="17" spans="2:3" x14ac:dyDescent="0.3">
      <c r="B17" s="2"/>
      <c r="C17" s="27" t="s">
        <v>400</v>
      </c>
    </row>
    <row r="18" spans="2:3" x14ac:dyDescent="0.3">
      <c r="B18" s="35"/>
      <c r="C18" s="35"/>
    </row>
    <row r="19" spans="2:3" x14ac:dyDescent="0.3">
      <c r="B19" s="2">
        <v>300</v>
      </c>
      <c r="C19" t="s">
        <v>379</v>
      </c>
    </row>
    <row r="20" spans="2:3" x14ac:dyDescent="0.3">
      <c r="B20" s="2"/>
      <c r="C20" s="27" t="s">
        <v>380</v>
      </c>
    </row>
    <row r="21" spans="2:3" x14ac:dyDescent="0.3">
      <c r="B21" s="2"/>
      <c r="C21" t="s">
        <v>381</v>
      </c>
    </row>
    <row r="22" spans="2:3" x14ac:dyDescent="0.3">
      <c r="B22" s="2"/>
      <c r="C22" s="27" t="s">
        <v>382</v>
      </c>
    </row>
    <row r="23" spans="2:3" x14ac:dyDescent="0.3">
      <c r="B23" s="35"/>
      <c r="C23" s="35"/>
    </row>
    <row r="24" spans="2:3" x14ac:dyDescent="0.3">
      <c r="B24" s="2">
        <v>400</v>
      </c>
      <c r="C24" t="s">
        <v>257</v>
      </c>
    </row>
    <row r="25" spans="2:3" x14ac:dyDescent="0.3">
      <c r="B25" s="2"/>
      <c r="C25" s="27" t="s">
        <v>355</v>
      </c>
    </row>
    <row r="26" spans="2:3" x14ac:dyDescent="0.3">
      <c r="B26" s="2"/>
      <c r="C26" t="s">
        <v>356</v>
      </c>
    </row>
    <row r="27" spans="2:3" x14ac:dyDescent="0.3">
      <c r="B27" s="2"/>
      <c r="C27" s="27" t="s">
        <v>357</v>
      </c>
    </row>
    <row r="28" spans="2:3" x14ac:dyDescent="0.3">
      <c r="B28" s="2"/>
      <c r="C28" t="s">
        <v>358</v>
      </c>
    </row>
    <row r="29" spans="2:3" x14ac:dyDescent="0.3">
      <c r="B29" s="2"/>
      <c r="C29" s="27" t="s">
        <v>401</v>
      </c>
    </row>
    <row r="30" spans="2:3" x14ac:dyDescent="0.3">
      <c r="B30" s="2"/>
      <c r="C30" t="s">
        <v>367</v>
      </c>
    </row>
    <row r="31" spans="2:3" x14ac:dyDescent="0.3">
      <c r="B31" s="2"/>
      <c r="C31" s="27" t="s">
        <v>368</v>
      </c>
    </row>
    <row r="32" spans="2:3" x14ac:dyDescent="0.3">
      <c r="B32" s="2"/>
      <c r="C32" t="s">
        <v>369</v>
      </c>
    </row>
    <row r="33" spans="2:3" x14ac:dyDescent="0.3">
      <c r="B33" s="2"/>
      <c r="C33" s="27" t="s">
        <v>370</v>
      </c>
    </row>
    <row r="34" spans="2:3" x14ac:dyDescent="0.3">
      <c r="B34" s="2"/>
      <c r="C34" t="s">
        <v>371</v>
      </c>
    </row>
    <row r="35" spans="2:3" x14ac:dyDescent="0.3">
      <c r="B35" s="35"/>
      <c r="C35" s="35"/>
    </row>
    <row r="36" spans="2:3" x14ac:dyDescent="0.3">
      <c r="B36" s="2">
        <v>500</v>
      </c>
      <c r="C36" t="s">
        <v>384</v>
      </c>
    </row>
    <row r="37" spans="2:3" x14ac:dyDescent="0.3">
      <c r="B37" s="2"/>
      <c r="C37" s="27" t="s">
        <v>385</v>
      </c>
    </row>
    <row r="38" spans="2:3" x14ac:dyDescent="0.3">
      <c r="B38" s="2"/>
      <c r="C38" t="s">
        <v>402</v>
      </c>
    </row>
    <row r="39" spans="2:3" x14ac:dyDescent="0.3">
      <c r="B39" s="2"/>
      <c r="C39" s="27" t="s">
        <v>406</v>
      </c>
    </row>
    <row r="40" spans="2:3" x14ac:dyDescent="0.3">
      <c r="B40" s="2"/>
      <c r="C40" t="s">
        <v>386</v>
      </c>
    </row>
    <row r="41" spans="2:3" x14ac:dyDescent="0.3">
      <c r="C41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2"/>
  <sheetViews>
    <sheetView workbookViewId="0">
      <selection activeCell="E13" sqref="E13"/>
    </sheetView>
  </sheetViews>
  <sheetFormatPr defaultRowHeight="14.4" x14ac:dyDescent="0.3"/>
  <cols>
    <col min="2" max="2" width="12.5546875" bestFit="1" customWidth="1"/>
    <col min="3" max="3" width="15.21875" bestFit="1" customWidth="1"/>
    <col min="4" max="4" width="9.5546875" bestFit="1" customWidth="1"/>
  </cols>
  <sheetData>
    <row r="1" spans="2:15" x14ac:dyDescent="0.3">
      <c r="B1" s="32" t="s">
        <v>337</v>
      </c>
      <c r="C1" s="32"/>
      <c r="I1" s="32"/>
      <c r="O1" s="32"/>
    </row>
    <row r="2" spans="2:15" x14ac:dyDescent="0.3">
      <c r="B2" s="33" t="s">
        <v>333</v>
      </c>
      <c r="C2" s="32" t="s">
        <v>335</v>
      </c>
      <c r="I2" s="32"/>
      <c r="O2" s="32"/>
    </row>
    <row r="3" spans="2:15" x14ac:dyDescent="0.3">
      <c r="B3" s="33" t="s">
        <v>338</v>
      </c>
      <c r="C3" s="32" t="s">
        <v>263</v>
      </c>
      <c r="I3" s="32"/>
      <c r="O3" s="32"/>
    </row>
    <row r="4" spans="2:15" x14ac:dyDescent="0.3">
      <c r="B4" s="33" t="s">
        <v>334</v>
      </c>
      <c r="C4" s="32" t="s">
        <v>336</v>
      </c>
      <c r="I4" s="32"/>
      <c r="O4" s="32"/>
    </row>
    <row r="5" spans="2:15" x14ac:dyDescent="0.3">
      <c r="B5" s="41" t="s">
        <v>330</v>
      </c>
      <c r="C5" s="42"/>
      <c r="D5" s="43"/>
    </row>
    <row r="6" spans="2:15" x14ac:dyDescent="0.3">
      <c r="B6" s="31" t="s">
        <v>331</v>
      </c>
      <c r="C6" s="31" t="s">
        <v>332</v>
      </c>
      <c r="D6" s="31" t="s">
        <v>329</v>
      </c>
    </row>
    <row r="7" spans="2:15" x14ac:dyDescent="0.3">
      <c r="B7" t="str">
        <f>CONCATENATE("VLAN",TEXT(D7,"0"))</f>
        <v>VLAN1001</v>
      </c>
      <c r="C7" t="s">
        <v>235</v>
      </c>
      <c r="D7" s="2">
        <v>1001</v>
      </c>
    </row>
    <row r="8" spans="2:15" ht="4.95" customHeight="1" x14ac:dyDescent="0.3">
      <c r="B8" s="28"/>
      <c r="C8" s="28"/>
      <c r="D8" s="34"/>
    </row>
    <row r="9" spans="2:15" x14ac:dyDescent="0.3">
      <c r="B9" s="27" t="str">
        <f t="shared" ref="B9:B15" si="0">CONCATENATE("VLAN",TEXT(D9,"0"))</f>
        <v>VLAN1101</v>
      </c>
      <c r="C9" s="27" t="s">
        <v>312</v>
      </c>
      <c r="D9" s="26">
        <v>1101</v>
      </c>
    </row>
    <row r="10" spans="2:15" x14ac:dyDescent="0.3">
      <c r="B10" t="str">
        <f t="shared" si="0"/>
        <v>VLAN1102</v>
      </c>
      <c r="C10" t="s">
        <v>313</v>
      </c>
      <c r="D10" s="2">
        <v>1102</v>
      </c>
    </row>
    <row r="11" spans="2:15" x14ac:dyDescent="0.3">
      <c r="B11" s="27" t="str">
        <f t="shared" si="0"/>
        <v>VLAN1103</v>
      </c>
      <c r="C11" s="27" t="s">
        <v>314</v>
      </c>
      <c r="D11" s="26">
        <v>1103</v>
      </c>
    </row>
    <row r="12" spans="2:15" x14ac:dyDescent="0.3">
      <c r="B12" t="str">
        <f t="shared" si="0"/>
        <v>VLAN1104</v>
      </c>
      <c r="C12" t="s">
        <v>315</v>
      </c>
      <c r="D12" s="2">
        <v>1104</v>
      </c>
    </row>
    <row r="13" spans="2:15" x14ac:dyDescent="0.3">
      <c r="B13" s="27" t="str">
        <f t="shared" si="0"/>
        <v>VLAN1105</v>
      </c>
      <c r="C13" s="27" t="s">
        <v>317</v>
      </c>
      <c r="D13" s="26">
        <v>1105</v>
      </c>
    </row>
    <row r="14" spans="2:15" x14ac:dyDescent="0.3">
      <c r="B14" t="str">
        <f t="shared" si="0"/>
        <v>VLAN1106</v>
      </c>
      <c r="C14" t="s">
        <v>316</v>
      </c>
      <c r="D14" s="2">
        <v>1106</v>
      </c>
    </row>
    <row r="15" spans="2:15" x14ac:dyDescent="0.3">
      <c r="B15" s="27" t="str">
        <f t="shared" si="0"/>
        <v>VLAN1151</v>
      </c>
      <c r="C15" s="27" t="s">
        <v>309</v>
      </c>
      <c r="D15" s="26">
        <v>1151</v>
      </c>
    </row>
    <row r="16" spans="2:15" x14ac:dyDescent="0.3">
      <c r="B16" t="str">
        <f t="shared" ref="B16:B17" si="1">CONCATENATE("VLAN",TEXT(D16,"0"))</f>
        <v>VLAN1152</v>
      </c>
      <c r="C16" t="s">
        <v>310</v>
      </c>
      <c r="D16" s="2">
        <v>1152</v>
      </c>
    </row>
    <row r="17" spans="2:4" x14ac:dyDescent="0.3">
      <c r="B17" s="27" t="str">
        <f t="shared" si="1"/>
        <v>VLAN1153</v>
      </c>
      <c r="C17" s="27" t="s">
        <v>311</v>
      </c>
      <c r="D17" s="26">
        <v>1153</v>
      </c>
    </row>
    <row r="18" spans="2:4" ht="4.95" customHeight="1" x14ac:dyDescent="0.3">
      <c r="B18" s="28"/>
      <c r="C18" s="28"/>
      <c r="D18" s="34"/>
    </row>
    <row r="19" spans="2:4" x14ac:dyDescent="0.3">
      <c r="B19" t="str">
        <f t="shared" ref="B19:B30" si="2">CONCATENATE("VLAN",TEXT(D19,"0"))</f>
        <v>VLAN1201</v>
      </c>
      <c r="C19" t="s">
        <v>318</v>
      </c>
      <c r="D19" s="2">
        <v>1201</v>
      </c>
    </row>
    <row r="20" spans="2:4" x14ac:dyDescent="0.3">
      <c r="B20" s="27" t="str">
        <f t="shared" si="2"/>
        <v>VLAN1202</v>
      </c>
      <c r="C20" s="27" t="s">
        <v>319</v>
      </c>
      <c r="D20" s="26">
        <v>1202</v>
      </c>
    </row>
    <row r="21" spans="2:4" x14ac:dyDescent="0.3">
      <c r="B21" t="str">
        <f t="shared" si="2"/>
        <v>VLAN1203</v>
      </c>
      <c r="C21" t="s">
        <v>320</v>
      </c>
      <c r="D21" s="2">
        <v>1203</v>
      </c>
    </row>
    <row r="22" spans="2:4" x14ac:dyDescent="0.3">
      <c r="B22" s="27" t="str">
        <f t="shared" si="2"/>
        <v>VLAN1204</v>
      </c>
      <c r="C22" s="27" t="s">
        <v>321</v>
      </c>
      <c r="D22" s="26">
        <v>1204</v>
      </c>
    </row>
    <row r="23" spans="2:4" x14ac:dyDescent="0.3">
      <c r="B23" t="str">
        <f>CONCATENATE("VLAN",TEXT(D23,"0"))</f>
        <v>VLAN1251</v>
      </c>
      <c r="C23" t="s">
        <v>326</v>
      </c>
      <c r="D23" s="2">
        <v>1251</v>
      </c>
    </row>
    <row r="24" spans="2:4" x14ac:dyDescent="0.3">
      <c r="B24" s="27" t="str">
        <f>CONCATENATE("VLAN",TEXT(D24,"0"))</f>
        <v>VLAN1252</v>
      </c>
      <c r="C24" s="27" t="s">
        <v>327</v>
      </c>
      <c r="D24" s="26">
        <v>1252</v>
      </c>
    </row>
    <row r="25" spans="2:4" x14ac:dyDescent="0.3">
      <c r="B25" t="str">
        <f t="shared" si="2"/>
        <v>VLAN1275</v>
      </c>
      <c r="C25" t="s">
        <v>322</v>
      </c>
      <c r="D25" s="2">
        <v>1275</v>
      </c>
    </row>
    <row r="26" spans="2:4" x14ac:dyDescent="0.3">
      <c r="B26" s="27" t="str">
        <f t="shared" si="2"/>
        <v>VLAN1276</v>
      </c>
      <c r="C26" s="27" t="s">
        <v>323</v>
      </c>
      <c r="D26" s="26">
        <v>1276</v>
      </c>
    </row>
    <row r="27" spans="2:4" x14ac:dyDescent="0.3">
      <c r="B27" t="str">
        <f t="shared" si="2"/>
        <v>VLAN1291</v>
      </c>
      <c r="C27" t="s">
        <v>324</v>
      </c>
      <c r="D27" s="2">
        <v>1291</v>
      </c>
    </row>
    <row r="28" spans="2:4" x14ac:dyDescent="0.3">
      <c r="B28" s="27" t="str">
        <f t="shared" si="2"/>
        <v>VLAN1292</v>
      </c>
      <c r="C28" s="27" t="s">
        <v>325</v>
      </c>
      <c r="D28" s="26">
        <v>1292</v>
      </c>
    </row>
    <row r="29" spans="2:4" ht="4.95" customHeight="1" x14ac:dyDescent="0.3">
      <c r="B29" s="28"/>
      <c r="C29" s="28"/>
      <c r="D29" s="34"/>
    </row>
    <row r="30" spans="2:4" x14ac:dyDescent="0.3">
      <c r="B30" t="str">
        <f t="shared" si="2"/>
        <v>VLAN1300</v>
      </c>
      <c r="C30" t="s">
        <v>328</v>
      </c>
      <c r="D30" s="2">
        <v>1300</v>
      </c>
    </row>
    <row r="31" spans="2:4" ht="4.95" customHeight="1" x14ac:dyDescent="0.3">
      <c r="B31" s="28"/>
      <c r="C31" s="28"/>
      <c r="D31" s="34"/>
    </row>
    <row r="32" spans="2:4" x14ac:dyDescent="0.3">
      <c r="B32" t="str">
        <f t="shared" ref="B32" si="3">CONCATENATE("VLAN",TEXT(D32,"0"))</f>
        <v>VLAN1321</v>
      </c>
      <c r="C32" t="s">
        <v>328</v>
      </c>
      <c r="D32" s="2">
        <v>1321</v>
      </c>
    </row>
    <row r="33" spans="2:4" ht="4.95" customHeight="1" x14ac:dyDescent="0.3">
      <c r="B33" s="28"/>
      <c r="C33" s="28"/>
      <c r="D33" s="34"/>
    </row>
    <row r="34" spans="2:4" x14ac:dyDescent="0.3">
      <c r="B34" t="str">
        <f t="shared" ref="B34:B41" si="4">CONCATENATE("VLAN",TEXT(D34,"0"))</f>
        <v>VLAN3001</v>
      </c>
      <c r="C34" t="s">
        <v>339</v>
      </c>
      <c r="D34" s="2">
        <v>3001</v>
      </c>
    </row>
    <row r="35" spans="2:4" x14ac:dyDescent="0.3">
      <c r="B35" s="27" t="str">
        <f t="shared" si="4"/>
        <v>VLAN3002</v>
      </c>
      <c r="C35" s="27" t="s">
        <v>340</v>
      </c>
      <c r="D35" s="26">
        <v>3002</v>
      </c>
    </row>
    <row r="36" spans="2:4" x14ac:dyDescent="0.3">
      <c r="B36" t="str">
        <f t="shared" si="4"/>
        <v>VLAN3003</v>
      </c>
      <c r="C36" t="s">
        <v>341</v>
      </c>
      <c r="D36" s="2">
        <v>3003</v>
      </c>
    </row>
    <row r="37" spans="2:4" x14ac:dyDescent="0.3">
      <c r="B37" s="27" t="str">
        <f t="shared" si="4"/>
        <v>VLAN3004</v>
      </c>
      <c r="C37" s="27" t="s">
        <v>342</v>
      </c>
      <c r="D37" s="26">
        <v>3004</v>
      </c>
    </row>
    <row r="38" spans="2:4" x14ac:dyDescent="0.3">
      <c r="B38" t="str">
        <f t="shared" si="4"/>
        <v>VLAN3005</v>
      </c>
      <c r="C38" t="s">
        <v>343</v>
      </c>
      <c r="D38" s="2">
        <v>3005</v>
      </c>
    </row>
    <row r="39" spans="2:4" x14ac:dyDescent="0.3">
      <c r="B39" s="27" t="str">
        <f t="shared" si="4"/>
        <v>VLAN3006</v>
      </c>
      <c r="C39" s="27" t="s">
        <v>344</v>
      </c>
      <c r="D39" s="26">
        <v>3006</v>
      </c>
    </row>
    <row r="40" spans="2:4" x14ac:dyDescent="0.3">
      <c r="B40" t="str">
        <f t="shared" si="4"/>
        <v>VLAN3007</v>
      </c>
      <c r="C40" t="s">
        <v>345</v>
      </c>
      <c r="D40" s="2">
        <v>3007</v>
      </c>
    </row>
    <row r="41" spans="2:4" x14ac:dyDescent="0.3">
      <c r="B41" s="27" t="str">
        <f t="shared" si="4"/>
        <v>VLAN3008</v>
      </c>
      <c r="C41" s="27" t="s">
        <v>346</v>
      </c>
      <c r="D41" s="26">
        <v>3008</v>
      </c>
    </row>
    <row r="42" spans="2:4" ht="4.95" customHeight="1" x14ac:dyDescent="0.3">
      <c r="B42" s="28"/>
      <c r="C42" s="28"/>
      <c r="D42" s="34"/>
    </row>
  </sheetData>
  <mergeCells count="1">
    <mergeCell ref="B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/>
  </sheetViews>
  <sheetFormatPr defaultRowHeight="14.4" x14ac:dyDescent="0.3"/>
  <cols>
    <col min="1" max="1" width="8.6640625" style="1"/>
    <col min="2" max="2" width="7.5546875" style="1" bestFit="1" customWidth="1"/>
    <col min="3" max="3" width="17.109375" customWidth="1"/>
    <col min="4" max="4" width="15.109375" customWidth="1"/>
    <col min="5" max="5" width="9.109375" bestFit="1" customWidth="1"/>
    <col min="6" max="8" width="10.6640625" bestFit="1" customWidth="1"/>
  </cols>
  <sheetData>
    <row r="1" spans="1:8" x14ac:dyDescent="0.3">
      <c r="A1" s="12" t="s">
        <v>15</v>
      </c>
      <c r="B1" s="44" t="s">
        <v>64</v>
      </c>
      <c r="C1" s="45"/>
      <c r="D1" s="45"/>
      <c r="E1" s="45"/>
    </row>
    <row r="2" spans="1:8" x14ac:dyDescent="0.3">
      <c r="A2" s="13" t="s">
        <v>31</v>
      </c>
      <c r="B2" s="10" t="s">
        <v>30</v>
      </c>
      <c r="C2" s="13" t="s">
        <v>32</v>
      </c>
      <c r="D2" s="8" t="s">
        <v>52</v>
      </c>
      <c r="E2" s="8" t="s">
        <v>53</v>
      </c>
    </row>
    <row r="3" spans="1:8" x14ac:dyDescent="0.3">
      <c r="A3" s="1">
        <v>2</v>
      </c>
      <c r="B3" s="11">
        <v>1</v>
      </c>
      <c r="C3" s="9" t="s">
        <v>42</v>
      </c>
      <c r="D3" s="9" t="s">
        <v>45</v>
      </c>
      <c r="E3" s="9" t="s">
        <v>63</v>
      </c>
      <c r="F3" s="14" t="s">
        <v>92</v>
      </c>
    </row>
    <row r="4" spans="1:8" x14ac:dyDescent="0.3">
      <c r="A4" s="1">
        <v>5</v>
      </c>
      <c r="B4" s="11">
        <v>2</v>
      </c>
      <c r="C4" s="9" t="s">
        <v>41</v>
      </c>
      <c r="D4" s="9" t="s">
        <v>48</v>
      </c>
      <c r="E4" s="9" t="s">
        <v>54</v>
      </c>
      <c r="F4" s="14" t="s">
        <v>89</v>
      </c>
    </row>
    <row r="5" spans="1:8" x14ac:dyDescent="0.3">
      <c r="A5" s="1">
        <v>8</v>
      </c>
      <c r="B5" s="11">
        <v>3</v>
      </c>
      <c r="C5" s="9" t="s">
        <v>40</v>
      </c>
      <c r="D5" s="9" t="s">
        <v>51</v>
      </c>
      <c r="E5" s="9" t="s">
        <v>55</v>
      </c>
      <c r="F5" s="14" t="s">
        <v>86</v>
      </c>
    </row>
    <row r="6" spans="1:8" x14ac:dyDescent="0.3">
      <c r="A6" s="1">
        <v>0</v>
      </c>
      <c r="B6" s="11">
        <v>4</v>
      </c>
      <c r="C6" s="9" t="s">
        <v>39</v>
      </c>
      <c r="D6" s="9" t="s">
        <v>43</v>
      </c>
      <c r="E6" s="9" t="s">
        <v>56</v>
      </c>
      <c r="F6" s="14" t="s">
        <v>152</v>
      </c>
    </row>
    <row r="7" spans="1:8" x14ac:dyDescent="0.3">
      <c r="A7" s="1">
        <v>3</v>
      </c>
      <c r="B7" s="11">
        <v>5</v>
      </c>
      <c r="C7" s="9" t="s">
        <v>38</v>
      </c>
      <c r="D7" s="9" t="s">
        <v>46</v>
      </c>
      <c r="E7" s="9" t="s">
        <v>57</v>
      </c>
      <c r="F7" s="14" t="s">
        <v>91</v>
      </c>
    </row>
    <row r="8" spans="1:8" x14ac:dyDescent="0.3">
      <c r="A8" s="1">
        <v>6</v>
      </c>
      <c r="B8" s="11">
        <v>6</v>
      </c>
      <c r="C8" s="9" t="s">
        <v>37</v>
      </c>
      <c r="D8" s="9" t="s">
        <v>49</v>
      </c>
      <c r="E8" s="9" t="s">
        <v>58</v>
      </c>
      <c r="F8" s="14" t="s">
        <v>88</v>
      </c>
    </row>
    <row r="9" spans="1:8" x14ac:dyDescent="0.3">
      <c r="A9" s="1">
        <v>9</v>
      </c>
      <c r="B9" s="11">
        <v>7</v>
      </c>
      <c r="C9" s="9" t="s">
        <v>36</v>
      </c>
      <c r="D9" s="9" t="s">
        <v>26</v>
      </c>
      <c r="E9" s="9" t="s">
        <v>59</v>
      </c>
      <c r="F9" s="14" t="s">
        <v>94</v>
      </c>
      <c r="G9" s="14" t="s">
        <v>96</v>
      </c>
      <c r="H9" s="14" t="s">
        <v>95</v>
      </c>
    </row>
    <row r="10" spans="1:8" x14ac:dyDescent="0.3">
      <c r="A10" s="1">
        <v>1</v>
      </c>
      <c r="B10" s="11">
        <v>8</v>
      </c>
      <c r="C10" s="9" t="s">
        <v>35</v>
      </c>
      <c r="D10" s="9" t="s">
        <v>44</v>
      </c>
      <c r="E10" s="9" t="s">
        <v>60</v>
      </c>
      <c r="F10" s="14" t="s">
        <v>93</v>
      </c>
    </row>
    <row r="11" spans="1:8" x14ac:dyDescent="0.3">
      <c r="A11" s="1">
        <v>4</v>
      </c>
      <c r="B11" s="11">
        <v>9</v>
      </c>
      <c r="C11" s="9" t="s">
        <v>34</v>
      </c>
      <c r="D11" s="9" t="s">
        <v>47</v>
      </c>
      <c r="E11" s="9" t="s">
        <v>61</v>
      </c>
      <c r="F11" s="14" t="s">
        <v>90</v>
      </c>
    </row>
    <row r="12" spans="1:8" x14ac:dyDescent="0.3">
      <c r="A12" s="1">
        <v>7</v>
      </c>
      <c r="B12" s="11">
        <v>10</v>
      </c>
      <c r="C12" s="9" t="s">
        <v>33</v>
      </c>
      <c r="D12" s="9" t="s">
        <v>50</v>
      </c>
      <c r="E12" s="9" t="s">
        <v>62</v>
      </c>
      <c r="F12" s="14" t="s">
        <v>87</v>
      </c>
    </row>
    <row r="15" spans="1:8" x14ac:dyDescent="0.3">
      <c r="A15" s="12" t="s">
        <v>103</v>
      </c>
      <c r="B15" s="44" t="s">
        <v>127</v>
      </c>
      <c r="C15" s="45"/>
      <c r="D15" s="45"/>
      <c r="E15" s="45"/>
    </row>
    <row r="16" spans="1:8" x14ac:dyDescent="0.3">
      <c r="A16" s="13" t="s">
        <v>31</v>
      </c>
      <c r="B16" s="10" t="s">
        <v>30</v>
      </c>
      <c r="C16" s="13" t="s">
        <v>32</v>
      </c>
      <c r="D16" s="8" t="s">
        <v>52</v>
      </c>
      <c r="E16" s="8" t="s">
        <v>53</v>
      </c>
    </row>
    <row r="17" spans="1:8" x14ac:dyDescent="0.3">
      <c r="A17" s="1" t="s">
        <v>104</v>
      </c>
      <c r="B17" s="11">
        <v>1</v>
      </c>
      <c r="C17" s="9" t="s">
        <v>106</v>
      </c>
      <c r="D17" s="9" t="s">
        <v>43</v>
      </c>
      <c r="E17" s="9" t="s">
        <v>56</v>
      </c>
      <c r="F17" s="14" t="s">
        <v>152</v>
      </c>
    </row>
    <row r="18" spans="1:8" x14ac:dyDescent="0.3">
      <c r="A18" s="1" t="s">
        <v>105</v>
      </c>
      <c r="B18" s="11">
        <v>5</v>
      </c>
      <c r="C18" s="9" t="s">
        <v>107</v>
      </c>
      <c r="D18" s="9" t="s">
        <v>48</v>
      </c>
      <c r="E18" s="9" t="s">
        <v>54</v>
      </c>
      <c r="F18" s="14" t="s">
        <v>89</v>
      </c>
    </row>
    <row r="19" spans="1:8" x14ac:dyDescent="0.3">
      <c r="A19" s="1" t="s">
        <v>108</v>
      </c>
      <c r="B19" s="11">
        <v>9</v>
      </c>
      <c r="C19" s="9" t="s">
        <v>109</v>
      </c>
      <c r="D19" s="9" t="s">
        <v>49</v>
      </c>
      <c r="E19" s="9" t="s">
        <v>58</v>
      </c>
      <c r="F19" s="14" t="s">
        <v>88</v>
      </c>
    </row>
    <row r="20" spans="1:8" x14ac:dyDescent="0.3">
      <c r="A20" s="1" t="s">
        <v>110</v>
      </c>
      <c r="B20" s="11">
        <v>2</v>
      </c>
      <c r="C20" s="9" t="s">
        <v>111</v>
      </c>
      <c r="D20" s="9" t="s">
        <v>50</v>
      </c>
      <c r="E20" s="9" t="s">
        <v>62</v>
      </c>
      <c r="F20" s="14" t="s">
        <v>87</v>
      </c>
    </row>
    <row r="21" spans="1:8" x14ac:dyDescent="0.3">
      <c r="A21" s="1" t="s">
        <v>112</v>
      </c>
      <c r="B21" s="11">
        <v>6</v>
      </c>
      <c r="C21" s="9" t="s">
        <v>113</v>
      </c>
      <c r="D21" s="9" t="s">
        <v>51</v>
      </c>
      <c r="E21" s="9" t="s">
        <v>55</v>
      </c>
      <c r="F21" s="14" t="s">
        <v>86</v>
      </c>
    </row>
    <row r="22" spans="1:8" x14ac:dyDescent="0.3">
      <c r="A22" s="1" t="s">
        <v>114</v>
      </c>
      <c r="B22" s="11">
        <v>10</v>
      </c>
      <c r="C22" s="9" t="s">
        <v>123</v>
      </c>
      <c r="D22" s="9" t="s">
        <v>44</v>
      </c>
      <c r="E22" s="9" t="s">
        <v>60</v>
      </c>
      <c r="F22" s="14" t="s">
        <v>93</v>
      </c>
    </row>
    <row r="23" spans="1:8" x14ac:dyDescent="0.3">
      <c r="A23" s="1" t="s">
        <v>115</v>
      </c>
      <c r="B23" s="11">
        <v>3</v>
      </c>
      <c r="C23" s="9" t="s">
        <v>116</v>
      </c>
      <c r="D23" s="9" t="s">
        <v>45</v>
      </c>
      <c r="E23" s="9" t="s">
        <v>63</v>
      </c>
      <c r="F23" s="14" t="s">
        <v>124</v>
      </c>
    </row>
    <row r="24" spans="1:8" x14ac:dyDescent="0.3">
      <c r="A24" s="1" t="s">
        <v>118</v>
      </c>
      <c r="B24" s="11">
        <v>7</v>
      </c>
      <c r="C24" s="9" t="s">
        <v>117</v>
      </c>
      <c r="D24" s="9" t="s">
        <v>46</v>
      </c>
      <c r="E24" s="9" t="s">
        <v>57</v>
      </c>
      <c r="F24" s="14" t="s">
        <v>125</v>
      </c>
    </row>
    <row r="25" spans="1:8" x14ac:dyDescent="0.3">
      <c r="A25" s="1" t="s">
        <v>119</v>
      </c>
      <c r="B25" s="11">
        <v>4</v>
      </c>
      <c r="C25" s="9" t="s">
        <v>120</v>
      </c>
      <c r="D25" s="9" t="s">
        <v>47</v>
      </c>
      <c r="E25" s="9" t="s">
        <v>61</v>
      </c>
      <c r="F25" s="14" t="s">
        <v>90</v>
      </c>
    </row>
    <row r="26" spans="1:8" x14ac:dyDescent="0.3">
      <c r="A26" s="1" t="s">
        <v>121</v>
      </c>
      <c r="B26" s="11">
        <v>8</v>
      </c>
      <c r="C26" s="9" t="s">
        <v>122</v>
      </c>
      <c r="D26" s="9" t="s">
        <v>26</v>
      </c>
      <c r="E26" s="9" t="s">
        <v>59</v>
      </c>
      <c r="F26" s="14" t="s">
        <v>94</v>
      </c>
      <c r="G26" s="14" t="s">
        <v>96</v>
      </c>
      <c r="H26" s="14" t="s">
        <v>95</v>
      </c>
    </row>
    <row r="27" spans="1:8" x14ac:dyDescent="0.3">
      <c r="G27" s="14"/>
      <c r="H27" s="14"/>
    </row>
    <row r="29" spans="1:8" x14ac:dyDescent="0.3">
      <c r="A29" s="12" t="s">
        <v>103</v>
      </c>
      <c r="B29" s="44" t="s">
        <v>128</v>
      </c>
      <c r="C29" s="45"/>
      <c r="D29" s="45"/>
      <c r="E29" s="45"/>
    </row>
    <row r="30" spans="1:8" x14ac:dyDescent="0.3">
      <c r="A30" s="13" t="s">
        <v>31</v>
      </c>
      <c r="B30" s="10" t="s">
        <v>30</v>
      </c>
      <c r="C30" s="13" t="s">
        <v>32</v>
      </c>
      <c r="D30" s="8" t="s">
        <v>52</v>
      </c>
      <c r="E30" s="8" t="s">
        <v>53</v>
      </c>
    </row>
    <row r="31" spans="1:8" x14ac:dyDescent="0.3">
      <c r="A31" s="1" t="s">
        <v>104</v>
      </c>
      <c r="B31" s="11">
        <v>1</v>
      </c>
      <c r="C31" s="9" t="s">
        <v>129</v>
      </c>
      <c r="D31" s="9" t="s">
        <v>43</v>
      </c>
      <c r="E31" s="9" t="s">
        <v>63</v>
      </c>
      <c r="F31" s="14" t="s">
        <v>151</v>
      </c>
    </row>
    <row r="32" spans="1:8" x14ac:dyDescent="0.3">
      <c r="A32" s="1" t="s">
        <v>105</v>
      </c>
      <c r="B32" s="11">
        <v>5</v>
      </c>
      <c r="C32" s="9" t="s">
        <v>130</v>
      </c>
      <c r="D32" s="9" t="s">
        <v>142</v>
      </c>
      <c r="E32" s="9" t="s">
        <v>63</v>
      </c>
      <c r="F32" t="s">
        <v>153</v>
      </c>
    </row>
    <row r="33" spans="1:8" x14ac:dyDescent="0.3">
      <c r="A33" s="1" t="s">
        <v>108</v>
      </c>
      <c r="B33" s="11">
        <v>9</v>
      </c>
      <c r="C33" s="9" t="s">
        <v>131</v>
      </c>
      <c r="D33" s="9" t="s">
        <v>146</v>
      </c>
      <c r="E33" s="9" t="s">
        <v>63</v>
      </c>
      <c r="F33" t="s">
        <v>154</v>
      </c>
    </row>
    <row r="34" spans="1:8" x14ac:dyDescent="0.3">
      <c r="A34" s="1" t="s">
        <v>110</v>
      </c>
      <c r="B34" s="11">
        <v>2</v>
      </c>
      <c r="C34" s="9" t="s">
        <v>132</v>
      </c>
      <c r="D34" s="9" t="s">
        <v>139</v>
      </c>
      <c r="E34" s="9" t="s">
        <v>63</v>
      </c>
      <c r="F34" t="s">
        <v>155</v>
      </c>
    </row>
    <row r="35" spans="1:8" x14ac:dyDescent="0.3">
      <c r="A35" s="1" t="s">
        <v>112</v>
      </c>
      <c r="B35" s="11">
        <v>6</v>
      </c>
      <c r="C35" s="9" t="s">
        <v>133</v>
      </c>
      <c r="D35" s="9" t="s">
        <v>143</v>
      </c>
      <c r="E35" s="9" t="s">
        <v>63</v>
      </c>
      <c r="F35" t="s">
        <v>156</v>
      </c>
    </row>
    <row r="36" spans="1:8" x14ac:dyDescent="0.3">
      <c r="A36" s="1" t="s">
        <v>114</v>
      </c>
      <c r="B36" s="11">
        <v>10</v>
      </c>
      <c r="C36" s="9" t="s">
        <v>134</v>
      </c>
      <c r="D36" s="9" t="s">
        <v>147</v>
      </c>
      <c r="E36" s="9" t="s">
        <v>63</v>
      </c>
      <c r="F36" t="s">
        <v>157</v>
      </c>
    </row>
    <row r="37" spans="1:8" x14ac:dyDescent="0.3">
      <c r="A37" s="1" t="s">
        <v>115</v>
      </c>
      <c r="B37" s="11">
        <v>3</v>
      </c>
      <c r="C37" s="9" t="s">
        <v>135</v>
      </c>
      <c r="D37" s="9" t="s">
        <v>140</v>
      </c>
      <c r="E37" s="9" t="s">
        <v>63</v>
      </c>
      <c r="F37" t="s">
        <v>158</v>
      </c>
    </row>
    <row r="38" spans="1:8" x14ac:dyDescent="0.3">
      <c r="A38" s="1" t="s">
        <v>118</v>
      </c>
      <c r="B38" s="11">
        <v>7</v>
      </c>
      <c r="C38" s="9" t="s">
        <v>136</v>
      </c>
      <c r="D38" s="9" t="s">
        <v>144</v>
      </c>
      <c r="E38" s="9" t="s">
        <v>63</v>
      </c>
      <c r="F38" s="14" t="s">
        <v>159</v>
      </c>
    </row>
    <row r="39" spans="1:8" x14ac:dyDescent="0.3">
      <c r="A39" s="1" t="s">
        <v>119</v>
      </c>
      <c r="B39" s="11">
        <v>4</v>
      </c>
      <c r="C39" s="9" t="s">
        <v>137</v>
      </c>
      <c r="D39" s="9" t="s">
        <v>141</v>
      </c>
      <c r="E39" s="9" t="s">
        <v>63</v>
      </c>
      <c r="F39" s="14" t="s">
        <v>160</v>
      </c>
    </row>
    <row r="40" spans="1:8" x14ac:dyDescent="0.3">
      <c r="A40" s="1" t="s">
        <v>121</v>
      </c>
      <c r="B40" s="11">
        <v>8</v>
      </c>
      <c r="C40" s="9" t="s">
        <v>138</v>
      </c>
      <c r="D40" s="9" t="s">
        <v>145</v>
      </c>
      <c r="E40" s="9" t="s">
        <v>63</v>
      </c>
      <c r="F40" s="14" t="s">
        <v>161</v>
      </c>
      <c r="G40" s="14"/>
      <c r="H40" s="14"/>
    </row>
  </sheetData>
  <mergeCells count="3">
    <mergeCell ref="B1:E1"/>
    <mergeCell ref="B15:E15"/>
    <mergeCell ref="B29:E2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IP Addresses</vt:lpstr>
      <vt:lpstr>Licenses</vt:lpstr>
      <vt:lpstr>CIDR</vt:lpstr>
      <vt:lpstr>PVE Interface</vt:lpstr>
      <vt:lpstr>PVE VMid</vt:lpstr>
      <vt:lpstr>PVE SDN VLANs</vt:lpstr>
      <vt:lpstr>ESX TCGUI tables</vt:lpstr>
    </vt:vector>
  </TitlesOfParts>
  <Company>Fortinet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2022-02-04T22:06:37Z</dcterms:created>
  <dcterms:modified xsi:type="dcterms:W3CDTF">2025-11-25T17:56:01Z</dcterms:modified>
</cp:coreProperties>
</file>